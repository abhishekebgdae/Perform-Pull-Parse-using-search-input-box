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6060174\OneDrive - Clarivate Analytics\Desktop\Macro for US Formula\"/>
    </mc:Choice>
  </mc:AlternateContent>
  <xr:revisionPtr revIDLastSave="0" documentId="13_ncr:1_{AAEBF5DC-69A6-4D1F-8EE9-49FEAAC5600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rform Search" sheetId="16" r:id="rId1"/>
  </sheets>
  <definedNames>
    <definedName name="_xlnm._FilterDatabase" localSheetId="0" hidden="1">'Perform Search'!$A$1:$BO$1249</definedName>
    <definedName name="AGENTINPUT">""</definedName>
    <definedName name="AGENTINPUTAGTID">""</definedName>
    <definedName name="AGENTINPUTSUPID">""</definedName>
    <definedName name="AGENTINPUTTITLE">""</definedName>
    <definedName name="ARCPUBURL">""</definedName>
    <definedName name="BPAGE">"1"</definedName>
    <definedName name="CPAGE">"1146"</definedName>
    <definedName name="CPNMB">"1"</definedName>
    <definedName name="CTIM2">"064301"</definedName>
    <definedName name="CUDPAGE">"0"</definedName>
    <definedName name="CURPAGE">"0"</definedName>
    <definedName name="CWSDOCSIGDAT">""</definedName>
    <definedName name="CWSDOCSIGLAT">""</definedName>
    <definedName name="CWSDOCSIGLON">""</definedName>
    <definedName name="CWSDOCSIGNIP">""</definedName>
    <definedName name="CWSDOCSMSDAT">""</definedName>
    <definedName name="Data.Next">#REF!</definedName>
    <definedName name="DVNAM">"QPQUPRFIL"</definedName>
    <definedName name="DVTYP">"PRINTER"</definedName>
    <definedName name="EPAGE">"154"</definedName>
    <definedName name="FACC2">"20220905"</definedName>
    <definedName name="FACCE">"05/09/2022"</definedName>
    <definedName name="FACCET">"05/09/2022 07:13:44"</definedName>
    <definedName name="FATTR">"A"</definedName>
    <definedName name="FCDAY">"05"</definedName>
    <definedName name="FCMON">"09"</definedName>
    <definedName name="FCRE2">"20220905"</definedName>
    <definedName name="FCREA">"05/09/2022"</definedName>
    <definedName name="FCREAT">"05/09/2022 07:13:44"</definedName>
    <definedName name="FCYEA">"2022"</definedName>
    <definedName name="FEXTENSION">"spl"</definedName>
    <definedName name="FFORM">"*SCS"</definedName>
    <definedName name="FMOD2">"20220905"</definedName>
    <definedName name="FMODI">"05/09/2022"</definedName>
    <definedName name="FMODT">"05/09/2022 07:13:45"</definedName>
    <definedName name="FMTYP">"CPA167167"</definedName>
    <definedName name="FNAME">"80416811-63f8-4121-9dfb-7cefbab447be.spl"</definedName>
    <definedName name="FNAMEWITHOUTEXT">"80416811-63f8-4121-9dfb-7cefbab447be"</definedName>
    <definedName name="FSIZE">"606"</definedName>
    <definedName name="FSIZE1">"606 KB"</definedName>
    <definedName name="FTYPE">"Compleo i5 Spool File"</definedName>
    <definedName name="IPATH">"D:\OUTPUT\CPA167167\IDF"</definedName>
    <definedName name="JBNAM">"CPA167167"</definedName>
    <definedName name="JBNMB">"580823"</definedName>
    <definedName name="NBPAGES">"0"</definedName>
    <definedName name="NDPAGES">"0"</definedName>
    <definedName name="OQLIB">"QGPL"</definedName>
    <definedName name="OQNAM">"OPSOUTQ"</definedName>
    <definedName name="PAGEW">"378"</definedName>
    <definedName name="path2">"\\abc\folder1"</definedName>
    <definedName name="PathExcelTemplate">"D:\OUTPUT"</definedName>
    <definedName name="PathInputFile">"C:\Users\ameyer_admin\Documents\Input files"</definedName>
    <definedName name="PathJSYDataSavingLocation">"\\int.cpaglobal.net\corpdata\jsy-data"</definedName>
    <definedName name="PathLive">"D:\OUTPUT"</definedName>
    <definedName name="PathReportSavingLocation">"\\int.cpaglobal.net\corpdata\jsy-data\ISDept\Systems\Compleo\OUTPUT"</definedName>
    <definedName name="PathSDriveSavingLocation">"\\int.cpaglobal.net\corpdata\Shared-Data"</definedName>
    <definedName name="PathTest">"\\cpajersey\corpdata\Application-Data\Compleo Queries"</definedName>
    <definedName name="PCDAT">"05/09/2022"</definedName>
    <definedName name="PCDAY">"05"</definedName>
    <definedName name="PCDT2">"20220905"</definedName>
    <definedName name="PCMON">"09"</definedName>
    <definedName name="PCTIM">"07:13:47"</definedName>
    <definedName name="PCTM2">"071345"</definedName>
    <definedName name="PCYEA">"2022"</definedName>
    <definedName name="PRIOR">" 5"</definedName>
    <definedName name="PRNDPX">"*NO"</definedName>
    <definedName name="SPATH">"C:\ProgramData\Symtrax\Compleo Suite\Temp\i5Spools"</definedName>
    <definedName name="SPATH0">"C:"</definedName>
    <definedName name="SPATH1">"ProgramData"</definedName>
    <definedName name="SPATH10">""</definedName>
    <definedName name="SPATH11">""</definedName>
    <definedName name="SPATH12">""</definedName>
    <definedName name="SPATH13">""</definedName>
    <definedName name="SPATH14">""</definedName>
    <definedName name="SPATH15">""</definedName>
    <definedName name="SPATH16">""</definedName>
    <definedName name="SPATH17">""</definedName>
    <definedName name="SPATH18">""</definedName>
    <definedName name="SPATH19">""</definedName>
    <definedName name="SPATH2">"Symtrax"</definedName>
    <definedName name="SPATH20">""</definedName>
    <definedName name="SPATH21">""</definedName>
    <definedName name="SPATH22">""</definedName>
    <definedName name="SPATH23">""</definedName>
    <definedName name="SPATH24">""</definedName>
    <definedName name="SPATH25">""</definedName>
    <definedName name="SPATH26">""</definedName>
    <definedName name="SPATH27">""</definedName>
    <definedName name="SPATH28">""</definedName>
    <definedName name="SPATH29">""</definedName>
    <definedName name="SPATH3">"Compleo Suite"</definedName>
    <definedName name="SPATH4">"Temp"</definedName>
    <definedName name="SPATH5">"i5Spools"</definedName>
    <definedName name="SPATH6">""</definedName>
    <definedName name="SPATH7">""</definedName>
    <definedName name="SPATH8">""</definedName>
    <definedName name="SPATH9">""</definedName>
    <definedName name="SPDAT">"05/09/2022"</definedName>
    <definedName name="SPDAY">"05"</definedName>
    <definedName name="SPDT2">"20220905"</definedName>
    <definedName name="SPMON">"09"</definedName>
    <definedName name="SPNAM">"QPQUPRFIL"</definedName>
    <definedName name="SPNMB">"1"</definedName>
    <definedName name="SPTIM">"06:43:01"</definedName>
    <definedName name="SPTM2">"071347"</definedName>
    <definedName name="SPYEA">"2022"</definedName>
    <definedName name="SRCDRW">"1"</definedName>
    <definedName name="STATE">"*READY"</definedName>
    <definedName name="TOTPG">"154"</definedName>
    <definedName name="TPATH">"C:\ProgramData\Symtrax\Compleo Suite\Temp\c09295ee-4795-477c-b948-76c4672d3e1c"</definedName>
    <definedName name="USDAT">""</definedName>
    <definedName name="USNAM">"QSYSOPR"</definedName>
    <definedName name="XMLVALERRMSG">""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" i="16" l="1"/>
  <c r="BQ2" i="16" s="1"/>
  <c r="BP2" i="16"/>
  <c r="BL2" i="16"/>
  <c r="G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2" i="16"/>
  <c r="AS2" i="16"/>
  <c r="AT2" i="16" s="1"/>
  <c r="X2" i="16"/>
  <c r="AF2" i="16"/>
  <c r="O2" i="16"/>
  <c r="N2" i="16"/>
  <c r="K2" i="16"/>
  <c r="W2" i="16" s="1"/>
  <c r="H2" i="16"/>
  <c r="AW2" i="16"/>
  <c r="AX2" i="16"/>
  <c r="BB2" i="16"/>
  <c r="BC2" i="16" s="1"/>
  <c r="AV2" i="16"/>
  <c r="BA2" i="16" s="1"/>
  <c r="BG2" i="16" s="1"/>
  <c r="AQ2" i="16"/>
  <c r="AN2" i="16"/>
  <c r="AO2" i="16" s="1"/>
  <c r="AP2" i="16" s="1"/>
  <c r="AK2" i="16"/>
  <c r="AH2" i="16"/>
  <c r="AI2" i="16" s="1"/>
  <c r="AA2" i="16"/>
  <c r="BM2" i="16" l="1"/>
  <c r="BN2" i="16" s="1"/>
  <c r="J2" i="16"/>
  <c r="P2" i="16"/>
  <c r="Q2" i="16" s="1"/>
  <c r="AR2" i="16"/>
  <c r="AU2" i="16" s="1"/>
  <c r="AL2" i="16"/>
  <c r="AM2" i="16" s="1"/>
  <c r="AE2" i="16"/>
  <c r="AG2" i="16" s="1"/>
  <c r="AB2" i="16"/>
  <c r="AC2" i="16" s="1"/>
  <c r="AD2" i="16" s="1"/>
  <c r="L2" i="16"/>
  <c r="M2" i="16" s="1"/>
  <c r="AY2" i="16"/>
  <c r="Y2" i="16"/>
  <c r="Z2" i="16" s="1"/>
  <c r="AJ2" i="16"/>
  <c r="BD2" i="16"/>
  <c r="BE2" i="16" s="1"/>
  <c r="BF2" i="16" s="1"/>
  <c r="BH2" i="16"/>
  <c r="BI2" i="16" s="1"/>
  <c r="BJ2" i="16" l="1"/>
  <c r="BK2" i="16" s="1"/>
  <c r="AZ2" i="16"/>
  <c r="S2" i="16"/>
  <c r="T2" i="16" s="1"/>
  <c r="V2" i="16"/>
  <c r="R2" i="16"/>
  <c r="U2" i="16" l="1"/>
</calcChain>
</file>

<file path=xl/sharedStrings.xml><?xml version="1.0" encoding="utf-8"?>
<sst xmlns="http://schemas.openxmlformats.org/spreadsheetml/2006/main" count="64" uniqueCount="25">
  <si>
    <t>a</t>
  </si>
  <si>
    <t>Case Status</t>
  </si>
  <si>
    <t>App date</t>
  </si>
  <si>
    <t>Earliest Publicaiton Number</t>
  </si>
  <si>
    <t>Publication Date</t>
  </si>
  <si>
    <t>Application Number</t>
  </si>
  <si>
    <t>Grant Issued/Not</t>
  </si>
  <si>
    <t>Entity status</t>
  </si>
  <si>
    <t>Grant number</t>
  </si>
  <si>
    <t>Applicants</t>
  </si>
  <si>
    <t>Assignee for publication</t>
  </si>
  <si>
    <t>Inventors</t>
  </si>
  <si>
    <t>Number of assignments</t>
  </si>
  <si>
    <t>Conveyance  Type</t>
  </si>
  <si>
    <t>Proprietor &amp; Address</t>
  </si>
  <si>
    <t>Same Case Details</t>
  </si>
  <si>
    <t>Grant Date</t>
  </si>
  <si>
    <t>Partition</t>
  </si>
  <si>
    <t>Grant Details Full</t>
  </si>
  <si>
    <t>Hidden inventors</t>
  </si>
  <si>
    <t>Application No.</t>
  </si>
  <si>
    <t>Case which are not found</t>
  </si>
  <si>
    <t>No. Assignee</t>
  </si>
  <si>
    <t>Power of attorney</t>
  </si>
  <si>
    <t>Correspondence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</si>
</sst>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 wrapText="1"/>
    </xf>
    <xf numFmtId="0" fontId="0" fillId="2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170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6.6640625" style="7" customWidth="1"/>
    <col min="2" max="2" width="14.77734375" style="7" customWidth="1"/>
    <col min="3" max="3" width="12.109375" style="7" customWidth="1"/>
    <col min="4" max="4" width="13.33203125" style="7" customWidth="1"/>
    <col min="5" max="5" width="15.88671875" style="7" customWidth="1"/>
    <col min="6" max="6" width="8.21875" style="8" bestFit="1" customWidth="1"/>
    <col min="7" max="7" width="10.21875" style="7" hidden="1" customWidth="1"/>
    <col min="8" max="8" width="8.6640625" style="7" hidden="1" customWidth="1"/>
    <col min="9" max="9" width="22.77734375" style="7" customWidth="1"/>
    <col min="10" max="10" width="14.44140625" style="4" bestFit="1" customWidth="1"/>
    <col min="11" max="11" width="13.21875" style="4" hidden="1" customWidth="1"/>
    <col min="12" max="12" width="5.88671875" style="4" hidden="1" customWidth="1"/>
    <col min="13" max="13" width="14.88671875" style="4" bestFit="1" customWidth="1"/>
    <col min="14" max="15" width="14.88671875" style="4" hidden="1" customWidth="1"/>
    <col min="16" max="16" width="39" style="4" hidden="1" customWidth="1"/>
    <col min="17" max="17" width="39" style="4" customWidth="1"/>
    <col min="18" max="18" width="13.21875" style="4" bestFit="1" customWidth="1"/>
    <col min="19" max="20" width="12" style="4" hidden="1" customWidth="1"/>
    <col min="21" max="21" width="16" style="4" bestFit="1" customWidth="1"/>
    <col min="22" max="22" width="18.21875" style="4" bestFit="1" customWidth="1"/>
    <col min="23" max="24" width="22.88671875" style="4" hidden="1" customWidth="1"/>
    <col min="25" max="25" width="42.5546875" style="4" hidden="1" customWidth="1"/>
    <col min="26" max="26" width="15.5546875" style="4" customWidth="1"/>
    <col min="27" max="28" width="8.88671875" style="4" hidden="1" customWidth="1"/>
    <col min="29" max="29" width="31.21875" style="4" hidden="1" customWidth="1"/>
    <col min="30" max="30" width="25.5546875" style="4" customWidth="1"/>
    <col min="31" max="32" width="25.5546875" style="4" hidden="1" customWidth="1"/>
    <col min="33" max="33" width="14.88671875" style="4" bestFit="1" customWidth="1"/>
    <col min="34" max="35" width="14.88671875" style="4" hidden="1" customWidth="1"/>
    <col min="36" max="36" width="22.44140625" style="4" bestFit="1" customWidth="1"/>
    <col min="37" max="38" width="8.88671875" style="4" hidden="1" customWidth="1"/>
    <col min="39" max="39" width="30.21875" style="4" customWidth="1"/>
    <col min="40" max="41" width="0" style="4" hidden="1" customWidth="1"/>
    <col min="42" max="42" width="22.21875" style="4" bestFit="1" customWidth="1"/>
    <col min="43" max="45" width="22.21875" style="4" hidden="1" customWidth="1"/>
    <col min="46" max="46" width="16.21875" style="4" customWidth="1"/>
    <col min="47" max="47" width="12.109375" style="7" customWidth="1"/>
    <col min="48" max="50" width="8.88671875" style="4" hidden="1" customWidth="1"/>
    <col min="51" max="51" width="18.109375" style="4" bestFit="1" customWidth="1"/>
    <col min="52" max="52" width="16.33203125" style="4" bestFit="1" customWidth="1"/>
    <col min="53" max="53" width="21.109375" style="4" bestFit="1" customWidth="1"/>
    <col min="54" max="55" width="8.88671875" style="4" hidden="1" customWidth="1"/>
    <col min="56" max="56" width="77.77734375" style="4" hidden="1" customWidth="1"/>
    <col min="57" max="57" width="64.88671875" style="4" hidden="1" customWidth="1"/>
    <col min="58" max="58" width="18.77734375" style="4" customWidth="1"/>
    <col min="59" max="60" width="8.88671875" style="4" hidden="1" customWidth="1"/>
    <col min="61" max="61" width="20.33203125" style="4" customWidth="1"/>
    <col min="62" max="62" width="0" style="4" hidden="1" customWidth="1"/>
    <col min="63" max="63" width="12.21875" style="4" bestFit="1" customWidth="1"/>
    <col min="64" max="65" width="0" style="4" hidden="1" customWidth="1"/>
    <col min="66" max="66" width="18" style="4" customWidth="1"/>
    <col min="67" max="68" width="0" style="4" hidden="1" customWidth="1"/>
    <col min="69" max="69" width="23.33203125" style="4" customWidth="1"/>
    <col min="70" max="16384" width="8.88671875" style="4"/>
  </cols>
  <sheetData>
    <row r="1" spans="1:69" x14ac:dyDescent="0.3">
      <c r="A1" s="1"/>
      <c r="B1" s="1"/>
      <c r="C1" s="1"/>
      <c r="D1" s="1"/>
      <c r="E1" s="1"/>
      <c r="F1" s="1" t="s">
        <v>17</v>
      </c>
      <c r="G1" s="1" t="s">
        <v>0</v>
      </c>
      <c r="H1" s="1" t="s">
        <v>0</v>
      </c>
      <c r="I1" s="1" t="s">
        <v>21</v>
      </c>
      <c r="J1" s="2" t="s">
        <v>20</v>
      </c>
      <c r="K1" s="2" t="s">
        <v>0</v>
      </c>
      <c r="L1" s="2" t="s">
        <v>0</v>
      </c>
      <c r="M1" s="2" t="s">
        <v>2</v>
      </c>
      <c r="N1" s="2" t="s">
        <v>0</v>
      </c>
      <c r="O1" s="2" t="s">
        <v>0</v>
      </c>
      <c r="P1" s="2" t="s">
        <v>0</v>
      </c>
      <c r="Q1" s="2" t="s">
        <v>18</v>
      </c>
      <c r="R1" s="2" t="s">
        <v>8</v>
      </c>
      <c r="S1" s="2" t="s">
        <v>0</v>
      </c>
      <c r="T1" s="2" t="s">
        <v>0</v>
      </c>
      <c r="U1" s="2" t="s">
        <v>6</v>
      </c>
      <c r="V1" s="2" t="s">
        <v>16</v>
      </c>
      <c r="W1" s="2" t="s">
        <v>0</v>
      </c>
      <c r="X1" s="2" t="s">
        <v>0</v>
      </c>
      <c r="Y1" s="2" t="s">
        <v>0</v>
      </c>
      <c r="Z1" s="2" t="s">
        <v>1</v>
      </c>
      <c r="AA1" s="2" t="s">
        <v>0</v>
      </c>
      <c r="AB1" s="2" t="s">
        <v>0</v>
      </c>
      <c r="AC1" s="2" t="s">
        <v>0</v>
      </c>
      <c r="AD1" s="2" t="s">
        <v>3</v>
      </c>
      <c r="AE1" s="2" t="s">
        <v>0</v>
      </c>
      <c r="AF1" s="2" t="s">
        <v>0</v>
      </c>
      <c r="AG1" s="2" t="s">
        <v>4</v>
      </c>
      <c r="AH1" s="2" t="s">
        <v>0</v>
      </c>
      <c r="AI1" s="2" t="s">
        <v>0</v>
      </c>
      <c r="AJ1" s="2" t="s">
        <v>7</v>
      </c>
      <c r="AK1" s="2" t="s">
        <v>0</v>
      </c>
      <c r="AL1" s="2" t="s">
        <v>0</v>
      </c>
      <c r="AM1" s="2" t="s">
        <v>9</v>
      </c>
      <c r="AN1" s="2" t="s">
        <v>0</v>
      </c>
      <c r="AO1" s="2" t="s">
        <v>0</v>
      </c>
      <c r="AP1" s="2" t="s">
        <v>10</v>
      </c>
      <c r="AQ1" s="2" t="s">
        <v>0</v>
      </c>
      <c r="AR1" s="2" t="s">
        <v>0</v>
      </c>
      <c r="AS1" s="2" t="s">
        <v>0</v>
      </c>
      <c r="AT1" s="2" t="s">
        <v>19</v>
      </c>
      <c r="AU1" s="1" t="s">
        <v>11</v>
      </c>
      <c r="AV1" s="2" t="s">
        <v>0</v>
      </c>
      <c r="AW1" s="2" t="s">
        <v>0</v>
      </c>
      <c r="AX1" s="2" t="s">
        <v>0</v>
      </c>
      <c r="AY1" s="2" t="s">
        <v>5</v>
      </c>
      <c r="AZ1" s="2" t="s">
        <v>15</v>
      </c>
      <c r="BA1" s="2" t="s">
        <v>12</v>
      </c>
      <c r="BB1" s="2" t="s">
        <v>0</v>
      </c>
      <c r="BC1" s="2" t="s">
        <v>0</v>
      </c>
      <c r="BD1" s="2" t="s">
        <v>0</v>
      </c>
      <c r="BE1" s="2" t="s">
        <v>0</v>
      </c>
      <c r="BF1" s="2" t="s">
        <v>13</v>
      </c>
      <c r="BG1" s="2" t="s">
        <v>0</v>
      </c>
      <c r="BH1" s="2" t="s">
        <v>0</v>
      </c>
      <c r="BI1" s="2" t="s">
        <v>14</v>
      </c>
      <c r="BJ1" s="2" t="s">
        <v>0</v>
      </c>
      <c r="BK1" s="2" t="s">
        <v>22</v>
      </c>
      <c r="BL1" s="2" t="s">
        <v>0</v>
      </c>
      <c r="BM1" s="2" t="s">
        <v>0</v>
      </c>
      <c r="BN1" s="2" t="s">
        <v>23</v>
      </c>
      <c r="BO1" s="2" t="s">
        <v>0</v>
      </c>
      <c r="BP1" s="2" t="s">
        <v>0</v>
      </c>
      <c r="BQ1" s="2" t="s">
        <v>24</v>
      </c>
    </row>
    <row r="2" spans="1:69" ht="15" customHeight="1" x14ac:dyDescent="0.3">
      <c r="A2" s="5"/>
      <c r="B2" s="5"/>
      <c r="C2" s="5"/>
      <c r="D2" s="5"/>
      <c r="E2" s="4"/>
      <c r="F2" s="6"/>
      <c r="G2" s="4" t="e">
        <f>FIND("Application #",A2)+LEN("Application #")</f>
        <v>#VALUE!</v>
      </c>
      <c r="H2" s="4" t="e">
        <f>FIND("Confirmation #",A2)</f>
        <v>#VALUE!</v>
      </c>
      <c r="I2" s="4" t="str">
        <f>IFERROR(MID(A2,FIND("Sorry, the entered Application Number",A2),68),"")</f>
        <v/>
      </c>
      <c r="J2" s="4" t="e">
        <f t="shared" ref="J2" si="0">CLEAN(SUBSTITUTE(MID(A2,G2,H2-G2)," ",""))</f>
        <v>#VALUE!</v>
      </c>
      <c r="K2" s="4" t="e">
        <f t="shared" ref="K2" si="1">FIND("Filing or 371 (c) date",A2)+LEN("Filing or 371 (c) date")</f>
        <v>#VALUE!</v>
      </c>
      <c r="L2" s="4" t="e">
        <f t="shared" ref="L2" si="2">FIND("Status",A2,K2)</f>
        <v>#VALUE!</v>
      </c>
      <c r="M2" s="4" t="e">
        <f t="shared" ref="M2" si="3">TRIM(CLEAN(MID(A2,K2,L2-K2)))</f>
        <v>#VALUE!</v>
      </c>
      <c r="N2" s="4" t="e">
        <f t="shared" ref="N2" si="4">FIND("Patent #",A2)+LEN("Patent #")</f>
        <v>#VALUE!</v>
      </c>
      <c r="O2" s="4" t="e">
        <f t="shared" ref="O2" si="5">FIND("Filing or 371 (c) date",A2)</f>
        <v>#VALUE!</v>
      </c>
      <c r="P2" s="4" t="e">
        <f t="shared" ref="P2" si="6">MID(A2,N2,O2-N2)</f>
        <v>#VALUE!</v>
      </c>
      <c r="Q2" s="4" t="e">
        <f>TRIM(SUBSTITUTE(P2,"open_in_new ",""))</f>
        <v>#VALUE!</v>
      </c>
      <c r="R2" s="4" t="e">
        <f t="shared" ref="R2" si="7">CLEAN(SUBSTITUTE(MID(P2,1,FIND("open",P2)-1)," ",""))</f>
        <v>#VALUE!</v>
      </c>
      <c r="S2" s="4" t="e">
        <f t="shared" ref="S2" si="8">FIND("open_in_new",P2)+LEN("open_in_new")</f>
        <v>#VALUE!</v>
      </c>
      <c r="T2" s="4" t="e">
        <f t="shared" ref="T2" si="9">FIND("-",P2,S2)</f>
        <v>#VALUE!</v>
      </c>
      <c r="U2" s="4" t="e">
        <f t="shared" ref="U2" si="10">CLEAN(SUBSTITUTE(MID(P2,S2,T2-S2)," ",""))</f>
        <v>#VALUE!</v>
      </c>
      <c r="V2" s="4" t="e">
        <f t="shared" ref="V2" si="11">RIGHT(CLEAN(SUBSTITUTE(P2," ","")),10)</f>
        <v>#VALUE!</v>
      </c>
      <c r="W2" s="4" t="e">
        <f t="shared" ref="W2" si="12">FIND("Status",A2,K2)+LEN("Status")</f>
        <v>#VALUE!</v>
      </c>
      <c r="X2" s="4" t="e">
        <f t="shared" ref="X2" si="13">FIND("Application Data 
Documents &amp; Transactions",A2)</f>
        <v>#VALUE!</v>
      </c>
      <c r="Y2" s="4" t="e">
        <f t="shared" ref="Y2" si="14">MID(A2,W2,(X2-11)-W2)</f>
        <v>#VALUE!</v>
      </c>
      <c r="Z2" s="4" t="e">
        <f t="shared" ref="Z2" si="15">TRIM(CLEAN(TRIM(MID(Y2,1,FIND("/",Y2)-3))))</f>
        <v>#VALUE!</v>
      </c>
      <c r="AA2" s="4" t="e">
        <f t="shared" ref="AA2" si="16">FIND("Earliest publication #",A2)+LEN("Earliest publication #
")</f>
        <v>#VALUE!</v>
      </c>
      <c r="AB2" s="4" t="e">
        <f t="shared" ref="AB2" si="17">FIND("Earliest publication date",A2,AA2)</f>
        <v>#VALUE!</v>
      </c>
      <c r="AC2" s="4" t="e">
        <f t="shared" ref="AC2" si="18">CLEAN(TRIM(MID(A2,AA2,AB2-AA2)))</f>
        <v>#VALUE!</v>
      </c>
      <c r="AD2" s="4" t="e">
        <f t="shared" ref="AD2" si="19">TRIM(CLEAN(SUBSTITUTE(AC2,"open_in_new","")))</f>
        <v>#VALUE!</v>
      </c>
      <c r="AE2" s="4" t="e">
        <f t="shared" ref="AE2" si="20">FIND("Earliest publication date",A2,AA2)+LEN("Earliest publication date")</f>
        <v>#VALUE!</v>
      </c>
      <c r="AF2" s="4" t="e">
        <f t="shared" ref="AF2" si="21">FIND("Assignee for publication",A2)</f>
        <v>#VALUE!</v>
      </c>
      <c r="AG2" s="4" t="e">
        <f t="shared" ref="AG2" si="22">CLEAN(SUBSTITUTE(MID(A2,AE2,AF2-AE2)," ",""))</f>
        <v>#VALUE!</v>
      </c>
      <c r="AH2" s="4" t="e">
        <f t="shared" ref="AH2" si="23">FIND("Entity status",A2)+LEN("Entity status")</f>
        <v>#VALUE!</v>
      </c>
      <c r="AI2" s="4" t="e">
        <f t="shared" ref="AI2" si="24">FIND("Earliest publication #",A2,AH2)</f>
        <v>#VALUE!</v>
      </c>
      <c r="AJ2" s="4" t="e">
        <f t="shared" ref="AJ2" si="25">CLEAN(TRIM(MID(A2,AH2,AI2-AH2)))</f>
        <v>#VALUE!</v>
      </c>
      <c r="AK2" s="4" t="e">
        <f t="shared" ref="AK2" si="26">FIND("Applicants",A2)+LEN("Applicants")</f>
        <v>#VALUE!</v>
      </c>
      <c r="AL2" s="4" t="e">
        <f t="shared" ref="AL2" si="27">FIND("United States Patent and Trademark Office 
United States Patent and Trademark Office 
 Browse By Topic",A2,AK2)</f>
        <v>#VALUE!</v>
      </c>
      <c r="AM2" s="4" t="e">
        <f t="shared" ref="AM2" si="28">TRIM(CLEAN(MID(A2,AK2,AL2-AK2)))</f>
        <v>#VALUE!</v>
      </c>
      <c r="AN2" s="4" t="e">
        <f t="shared" ref="AN2" si="29">FIND("Assignee for publication",A2)+LEN("Assignee for publication")</f>
        <v>#VALUE!</v>
      </c>
      <c r="AO2" s="4" t="e">
        <f t="shared" ref="AO2" si="30">FIND("Confirmation #",A2,AN2)</f>
        <v>#VALUE!</v>
      </c>
      <c r="AP2" s="4" t="e">
        <f t="shared" ref="AP2" si="31">MID(A2,AN2,AO2-AN2)</f>
        <v>#VALUE!</v>
      </c>
      <c r="AQ2" s="4" t="e">
        <f t="shared" ref="AQ2" si="32">FIND("Inventors",A2)+LEN("Inventors")</f>
        <v>#VALUE!</v>
      </c>
      <c r="AR2" s="4" t="e">
        <f t="shared" ref="AR2" si="33">FIND("Applicants",A2,AQ2)</f>
        <v>#VALUE!</v>
      </c>
      <c r="AS2" s="4" t="e">
        <f t="shared" ref="AS2" si="34">FIND("Show all inventors",A2)</f>
        <v>#VALUE!</v>
      </c>
      <c r="AT2" s="4" t="str">
        <f t="shared" ref="AT2" si="35">IFERROR(MID(A2,AS2,24),"")</f>
        <v/>
      </c>
      <c r="AU2" s="7" t="e">
        <f t="shared" ref="AU2" si="36">CLEAN(TRIM(MID(A2,AQ2,AR2-AQ2)))</f>
        <v>#VALUE!</v>
      </c>
      <c r="AV2" s="4" t="e">
        <f t="shared" ref="AV2" si="37">FIND("Assignments found",E2)-3</f>
        <v>#VALUE!</v>
      </c>
      <c r="AW2" s="4" t="e">
        <f t="shared" ref="AW2" si="38">FIND("Application #",E2)+LEN("Application #")</f>
        <v>#VALUE!</v>
      </c>
      <c r="AX2" s="4" t="e">
        <f t="shared" ref="AX2" si="39">FIND("Confirmation #",E2)</f>
        <v>#VALUE!</v>
      </c>
      <c r="AY2" s="4" t="e">
        <f t="shared" ref="AY2" si="40">CLEAN(SUBSTITUTE(MID(E2,AW2,AX2-AW2)," ",""))</f>
        <v>#VALUE!</v>
      </c>
      <c r="AZ2" s="3" t="e">
        <f t="shared" ref="AZ2" si="41">AY2=J2</f>
        <v>#VALUE!</v>
      </c>
      <c r="BA2" s="4" t="e">
        <f t="shared" ref="BA2" si="42">TRIM(CLEAN(MID(E2,AV2,LEN("11 Assignments found"))))</f>
        <v>#VALUE!</v>
      </c>
      <c r="BB2" s="4" t="e">
        <f t="shared" ref="BB2" si="43">FIND("Conveyance ",E2)+LEN("Conveyance ")</f>
        <v>#VALUE!</v>
      </c>
      <c r="BC2" s="4" t="e">
        <f t="shared" ref="BC2" si="44">FIND("Assignors 
Execution date ",E2,BB2)</f>
        <v>#VALUE!</v>
      </c>
      <c r="BD2" s="4" t="e">
        <f t="shared" ref="BD2" si="45">MID(E2,BB2,BC2-BB2)</f>
        <v>#VALUE!</v>
      </c>
      <c r="BE2" s="4" t="e">
        <f t="shared" ref="BE2" si="46">IFERROR(SUBSTITUTE(BD2,"picture_as_pdf ",""),BD2)</f>
        <v>#VALUE!</v>
      </c>
      <c r="BF2" s="4" t="e">
        <f t="shared" ref="BF2" si="47">IF(BA2="1 Assignments Found",BE2,"")</f>
        <v>#VALUE!</v>
      </c>
      <c r="BG2" s="4" t="e">
        <f t="shared" ref="BG2" si="48">IF(BA2="1 Assignments Found",FIND("Assignee",E2,AV2)+LEN("Assignee"),"")</f>
        <v>#VALUE!</v>
      </c>
      <c r="BH2" s="4" t="e">
        <f t="shared" ref="BH2" si="49">IF(BA2="1 Assignments Found",FIND("5 per page ",E2),"")</f>
        <v>#VALUE!</v>
      </c>
      <c r="BI2" s="4" t="str">
        <f>TRIM(IFERROR(MID(E2,BG2,BH2-BG2),""))</f>
        <v/>
      </c>
      <c r="BJ2" s="4">
        <f>(LEN(BI2)-LEN(SUBSTITUTE(BI2,"Assignee","")))/LEN("Assignee")</f>
        <v>0</v>
      </c>
      <c r="BK2" s="4" t="str">
        <f>IF(LEN(BI2)&lt;1,"",IF(BJ2=0,"1 Assignee",BJ2&amp;" Assignee"))</f>
        <v/>
      </c>
      <c r="BL2" s="4" t="e">
        <f>FIND("Power of attorney",D2)+LEN("Power of attorney")</f>
        <v>#VALUE!</v>
      </c>
      <c r="BM2" s="4" t="e">
        <f>FIND("(",D2,BL2)</f>
        <v>#VALUE!</v>
      </c>
      <c r="BN2" s="7" t="e">
        <f>TRIM(MID(D2,BL2,BM2-BL2))</f>
        <v>#VALUE!</v>
      </c>
      <c r="BO2" s="4" t="e">
        <f>FIND("Correspondence address",D2)+LEN("Correspondence address")</f>
        <v>#VALUE!</v>
      </c>
      <c r="BP2" s="4" t="e">
        <f>FIND("(",D2,BO2)</f>
        <v>#VALUE!</v>
      </c>
      <c r="BQ2" s="7" t="e">
        <f t="shared" ref="BQ2" si="50">TRIM(MID(D2,BO2,BP2-BO2))</f>
        <v>#VALUE!</v>
      </c>
    </row>
    <row r="3" spans="1:69" ht="15" customHeight="1" x14ac:dyDescent="0.3">
      <c r="A3" s="5"/>
      <c r="B3" s="5"/>
      <c r="C3" s="5"/>
      <c r="D3" s="5"/>
      <c r="E3" s="4"/>
      <c r="F3" s="6"/>
      <c r="G3" s="4"/>
      <c r="H3" s="4"/>
      <c r="I3" s="4" t="str">
        <f t="shared" ref="I3:I66" si="51">IFERROR(MID(A3,FIND("Sorry, the entered Application Number",A3),68),"")</f>
        <v/>
      </c>
      <c r="AZ3" s="3"/>
      <c r="BN3" s="7"/>
      <c r="BQ3" s="7"/>
    </row>
    <row r="4" spans="1:69" ht="15" customHeight="1" x14ac:dyDescent="0.3">
      <c r="A4" s="5"/>
      <c r="B4" s="5"/>
      <c r="C4" s="5"/>
      <c r="D4" s="5"/>
      <c r="F4" s="6"/>
      <c r="G4" s="4"/>
      <c r="H4" s="4"/>
      <c r="I4" s="4" t="str">
        <f t="shared" si="51"/>
        <v/>
      </c>
      <c r="AZ4" s="3"/>
      <c r="BN4" s="7"/>
      <c r="BQ4" s="7"/>
    </row>
    <row r="5" spans="1:69" ht="15" customHeight="1" x14ac:dyDescent="0.3">
      <c r="A5" s="5"/>
      <c r="B5" s="5"/>
      <c r="C5" s="5"/>
      <c r="D5" s="5"/>
      <c r="F5" s="6"/>
      <c r="G5" s="4"/>
      <c r="H5" s="4"/>
      <c r="I5" s="4" t="str">
        <f t="shared" si="51"/>
        <v/>
      </c>
      <c r="AZ5" s="3"/>
      <c r="BN5" s="7"/>
      <c r="BQ5" s="7"/>
    </row>
    <row r="6" spans="1:69" ht="15" customHeight="1" x14ac:dyDescent="0.3">
      <c r="A6" s="5"/>
      <c r="B6" s="5"/>
      <c r="C6" s="5"/>
      <c r="D6" s="5"/>
      <c r="F6" s="6"/>
      <c r="G6" s="4"/>
      <c r="H6" s="4"/>
      <c r="I6" s="4" t="str">
        <f t="shared" si="51"/>
        <v/>
      </c>
      <c r="AZ6" s="3"/>
      <c r="BN6" s="7"/>
      <c r="BQ6" s="7"/>
    </row>
    <row r="7" spans="1:69" ht="15" customHeight="1" x14ac:dyDescent="0.3">
      <c r="A7" s="5"/>
      <c r="B7" s="5"/>
      <c r="C7" s="5"/>
      <c r="D7" s="5"/>
      <c r="F7" s="6"/>
      <c r="G7" s="4"/>
      <c r="H7" s="4"/>
      <c r="I7" s="4" t="str">
        <f t="shared" si="51"/>
        <v/>
      </c>
      <c r="AZ7" s="3"/>
      <c r="BN7" s="7"/>
      <c r="BQ7" s="7"/>
    </row>
    <row r="8" spans="1:69" ht="15" customHeight="1" x14ac:dyDescent="0.3">
      <c r="A8" s="5"/>
      <c r="B8" s="5"/>
      <c r="C8" s="5"/>
      <c r="D8" s="5"/>
      <c r="F8" s="6"/>
      <c r="G8" s="4"/>
      <c r="H8" s="4"/>
      <c r="I8" s="4" t="str">
        <f t="shared" si="51"/>
        <v/>
      </c>
      <c r="AZ8" s="3"/>
      <c r="BN8" s="7"/>
      <c r="BQ8" s="7"/>
    </row>
    <row r="9" spans="1:69" ht="15" customHeight="1" x14ac:dyDescent="0.3">
      <c r="A9" s="5"/>
      <c r="B9" s="5"/>
      <c r="C9" s="5"/>
      <c r="D9" s="5"/>
      <c r="F9" s="6"/>
      <c r="G9" s="4"/>
      <c r="H9" s="4"/>
      <c r="I9" s="4" t="str">
        <f t="shared" si="51"/>
        <v/>
      </c>
      <c r="AZ9" s="3"/>
      <c r="BN9" s="7"/>
      <c r="BQ9" s="7"/>
    </row>
    <row r="10" spans="1:69" ht="15" customHeight="1" x14ac:dyDescent="0.3">
      <c r="A10" s="5"/>
      <c r="B10" s="5"/>
      <c r="C10" s="5"/>
      <c r="D10" s="5"/>
      <c r="F10" s="6"/>
      <c r="G10" s="4"/>
      <c r="H10" s="4"/>
      <c r="I10" s="4" t="str">
        <f t="shared" si="51"/>
        <v/>
      </c>
      <c r="AZ10" s="3"/>
      <c r="BN10" s="7"/>
      <c r="BQ10" s="7"/>
    </row>
    <row r="11" spans="1:69" ht="15" customHeight="1" x14ac:dyDescent="0.3">
      <c r="A11" s="5"/>
      <c r="B11" s="5"/>
      <c r="C11" s="5"/>
      <c r="D11" s="5"/>
      <c r="F11" s="6"/>
      <c r="G11" s="4"/>
      <c r="H11" s="4"/>
      <c r="I11" s="4" t="str">
        <f t="shared" si="51"/>
        <v/>
      </c>
      <c r="AZ11" s="3"/>
      <c r="BN11" s="7"/>
      <c r="BQ11" s="7"/>
    </row>
    <row r="12" spans="1:69" ht="15" customHeight="1" x14ac:dyDescent="0.3">
      <c r="A12" s="5"/>
      <c r="B12" s="5"/>
      <c r="C12" s="5"/>
      <c r="D12" s="5"/>
      <c r="F12" s="6"/>
      <c r="G12" s="4"/>
      <c r="H12" s="4"/>
      <c r="I12" s="4" t="str">
        <f t="shared" si="51"/>
        <v/>
      </c>
      <c r="AZ12" s="3"/>
      <c r="BN12" s="7"/>
      <c r="BQ12" s="7"/>
    </row>
    <row r="13" spans="1:69" ht="15" customHeight="1" x14ac:dyDescent="0.3">
      <c r="A13" s="5"/>
      <c r="B13" s="5"/>
      <c r="C13" s="5"/>
      <c r="D13" s="5"/>
      <c r="F13" s="6"/>
      <c r="G13" s="4"/>
      <c r="H13" s="4"/>
      <c r="I13" s="4" t="str">
        <f t="shared" si="51"/>
        <v/>
      </c>
      <c r="AZ13" s="3"/>
      <c r="BN13" s="7"/>
      <c r="BQ13" s="7"/>
    </row>
    <row r="14" spans="1:69" ht="15" customHeight="1" x14ac:dyDescent="0.3">
      <c r="A14" s="5"/>
      <c r="B14" s="5"/>
      <c r="C14" s="5"/>
      <c r="D14" s="5"/>
      <c r="F14" s="6"/>
      <c r="G14" s="4"/>
      <c r="H14" s="4"/>
      <c r="I14" s="4" t="str">
        <f t="shared" si="51"/>
        <v/>
      </c>
      <c r="AZ14" s="3"/>
      <c r="BN14" s="7"/>
      <c r="BQ14" s="7"/>
    </row>
    <row r="15" spans="1:69" ht="15" customHeight="1" x14ac:dyDescent="0.3">
      <c r="A15" s="5"/>
      <c r="B15" s="5"/>
      <c r="C15" s="5"/>
      <c r="D15" s="5"/>
      <c r="F15" s="6"/>
      <c r="G15" s="4"/>
      <c r="H15" s="4"/>
      <c r="I15" s="4" t="str">
        <f t="shared" si="51"/>
        <v/>
      </c>
      <c r="AZ15" s="3"/>
      <c r="BN15" s="7"/>
      <c r="BQ15" s="7"/>
    </row>
    <row r="16" spans="1:69" ht="15" customHeight="1" x14ac:dyDescent="0.3">
      <c r="A16" s="5"/>
      <c r="B16" s="5"/>
      <c r="C16" s="5"/>
      <c r="D16" s="5"/>
      <c r="F16" s="6"/>
      <c r="G16" s="4"/>
      <c r="H16" s="4"/>
      <c r="I16" s="4" t="str">
        <f t="shared" si="51"/>
        <v/>
      </c>
      <c r="AZ16" s="3"/>
      <c r="BN16" s="7"/>
      <c r="BQ16" s="7"/>
    </row>
    <row r="17" spans="1:69" ht="15" customHeight="1" x14ac:dyDescent="0.3">
      <c r="A17" s="5"/>
      <c r="B17" s="5"/>
      <c r="C17" s="5"/>
      <c r="D17" s="5"/>
      <c r="F17" s="6"/>
      <c r="G17" s="4"/>
      <c r="H17" s="4"/>
      <c r="I17" s="4" t="str">
        <f t="shared" si="51"/>
        <v/>
      </c>
      <c r="AZ17" s="3"/>
      <c r="BN17" s="7"/>
      <c r="BQ17" s="7"/>
    </row>
    <row r="18" spans="1:69" ht="15" customHeight="1" x14ac:dyDescent="0.3">
      <c r="A18" s="5"/>
      <c r="B18" s="5"/>
      <c r="C18" s="5"/>
      <c r="D18" s="5"/>
      <c r="F18" s="6"/>
      <c r="G18" s="4"/>
      <c r="H18" s="4"/>
      <c r="I18" s="4" t="str">
        <f t="shared" si="51"/>
        <v/>
      </c>
      <c r="AZ18" s="3"/>
      <c r="BN18" s="7"/>
      <c r="BQ18" s="7"/>
    </row>
    <row r="19" spans="1:69" ht="15" customHeight="1" x14ac:dyDescent="0.3">
      <c r="A19" s="5"/>
      <c r="B19" s="5"/>
      <c r="C19" s="5"/>
      <c r="D19" s="5"/>
      <c r="F19" s="6"/>
      <c r="G19" s="4"/>
      <c r="H19" s="4"/>
      <c r="I19" s="4" t="str">
        <f t="shared" si="51"/>
        <v/>
      </c>
      <c r="AZ19" s="3"/>
      <c r="BN19" s="7"/>
      <c r="BQ19" s="7"/>
    </row>
    <row r="20" spans="1:69" ht="15" customHeight="1" x14ac:dyDescent="0.3">
      <c r="A20" s="5"/>
      <c r="B20" s="5"/>
      <c r="C20" s="5"/>
      <c r="D20" s="5"/>
      <c r="F20" s="6"/>
      <c r="G20" s="4"/>
      <c r="H20" s="4"/>
      <c r="I20" s="4" t="str">
        <f t="shared" si="51"/>
        <v/>
      </c>
      <c r="AZ20" s="3"/>
      <c r="BN20" s="7"/>
      <c r="BQ20" s="7"/>
    </row>
    <row r="21" spans="1:69" ht="15" customHeight="1" x14ac:dyDescent="0.3">
      <c r="A21" s="5"/>
      <c r="B21" s="5"/>
      <c r="C21" s="5"/>
      <c r="D21" s="5"/>
      <c r="F21" s="6"/>
      <c r="G21" s="4"/>
      <c r="H21" s="4"/>
      <c r="I21" s="4" t="str">
        <f t="shared" si="51"/>
        <v/>
      </c>
      <c r="AZ21" s="3"/>
      <c r="BN21" s="7"/>
      <c r="BQ21" s="7"/>
    </row>
    <row r="22" spans="1:69" ht="15" customHeight="1" x14ac:dyDescent="0.3">
      <c r="A22" s="5"/>
      <c r="B22" s="5"/>
      <c r="C22" s="5"/>
      <c r="D22" s="5"/>
      <c r="F22" s="6"/>
      <c r="G22" s="4"/>
      <c r="H22" s="4"/>
      <c r="I22" s="4" t="str">
        <f t="shared" si="51"/>
        <v/>
      </c>
      <c r="AZ22" s="3"/>
      <c r="BN22" s="7"/>
      <c r="BQ22" s="7"/>
    </row>
    <row r="23" spans="1:69" ht="15" customHeight="1" x14ac:dyDescent="0.3">
      <c r="A23" s="5"/>
      <c r="B23" s="5"/>
      <c r="C23" s="5"/>
      <c r="D23" s="5"/>
      <c r="F23" s="6"/>
      <c r="G23" s="4"/>
      <c r="H23" s="4"/>
      <c r="I23" s="4" t="str">
        <f t="shared" si="51"/>
        <v/>
      </c>
      <c r="AZ23" s="3"/>
      <c r="BN23" s="7"/>
      <c r="BQ23" s="7"/>
    </row>
    <row r="24" spans="1:69" ht="15" customHeight="1" x14ac:dyDescent="0.3">
      <c r="A24" s="5"/>
      <c r="B24" s="5"/>
      <c r="C24" s="5"/>
      <c r="D24" s="5"/>
      <c r="F24" s="6"/>
      <c r="G24" s="4"/>
      <c r="H24" s="4"/>
      <c r="I24" s="4" t="str">
        <f t="shared" si="51"/>
        <v/>
      </c>
      <c r="AZ24" s="3"/>
      <c r="BN24" s="7"/>
      <c r="BQ24" s="7"/>
    </row>
    <row r="25" spans="1:69" ht="15" customHeight="1" x14ac:dyDescent="0.3">
      <c r="A25" s="5"/>
      <c r="B25" s="5"/>
      <c r="C25" s="5"/>
      <c r="D25" s="5"/>
      <c r="F25" s="6"/>
      <c r="G25" s="4"/>
      <c r="H25" s="4"/>
      <c r="I25" s="4" t="str">
        <f t="shared" si="51"/>
        <v/>
      </c>
      <c r="AZ25" s="3"/>
      <c r="BN25" s="7"/>
      <c r="BQ25" s="7"/>
    </row>
    <row r="26" spans="1:69" ht="15" customHeight="1" x14ac:dyDescent="0.3">
      <c r="A26" s="5"/>
      <c r="B26" s="5"/>
      <c r="C26" s="5"/>
      <c r="D26" s="5"/>
      <c r="F26" s="6"/>
      <c r="G26" s="4"/>
      <c r="H26" s="4"/>
      <c r="I26" s="4" t="str">
        <f t="shared" si="51"/>
        <v/>
      </c>
      <c r="AZ26" s="3"/>
      <c r="BN26" s="7"/>
      <c r="BQ26" s="7"/>
    </row>
    <row r="27" spans="1:69" ht="15" customHeight="1" x14ac:dyDescent="0.3">
      <c r="A27" s="5"/>
      <c r="B27" s="5"/>
      <c r="C27" s="5"/>
      <c r="D27" s="5"/>
      <c r="F27" s="6"/>
      <c r="G27" s="4"/>
      <c r="H27" s="4"/>
      <c r="I27" s="4" t="str">
        <f t="shared" si="51"/>
        <v/>
      </c>
      <c r="AZ27" s="3"/>
      <c r="BN27" s="7"/>
      <c r="BQ27" s="7"/>
    </row>
    <row r="28" spans="1:69" ht="15" customHeight="1" x14ac:dyDescent="0.3">
      <c r="A28" s="5"/>
      <c r="B28" s="5"/>
      <c r="C28" s="5"/>
      <c r="D28" s="5"/>
      <c r="F28" s="6"/>
      <c r="G28" s="4"/>
      <c r="H28" s="4"/>
      <c r="I28" s="4" t="str">
        <f t="shared" si="51"/>
        <v/>
      </c>
      <c r="AZ28" s="3"/>
      <c r="BN28" s="7"/>
      <c r="BQ28" s="7"/>
    </row>
    <row r="29" spans="1:69" ht="15" customHeight="1" x14ac:dyDescent="0.3">
      <c r="A29" s="5"/>
      <c r="B29" s="5"/>
      <c r="C29" s="5"/>
      <c r="D29" s="5"/>
      <c r="F29" s="6"/>
      <c r="G29" s="4"/>
      <c r="H29" s="4"/>
      <c r="I29" s="4" t="str">
        <f t="shared" si="51"/>
        <v/>
      </c>
      <c r="AZ29" s="3"/>
      <c r="BN29" s="7"/>
      <c r="BQ29" s="7"/>
    </row>
    <row r="30" spans="1:69" ht="15" customHeight="1" x14ac:dyDescent="0.3">
      <c r="A30" s="5"/>
      <c r="B30" s="5"/>
      <c r="C30" s="5"/>
      <c r="D30" s="5"/>
      <c r="F30" s="6"/>
      <c r="G30" s="4"/>
      <c r="H30" s="4"/>
      <c r="I30" s="4" t="str">
        <f t="shared" si="51"/>
        <v/>
      </c>
      <c r="AZ30" s="3"/>
      <c r="BN30" s="7"/>
      <c r="BQ30" s="7"/>
    </row>
    <row r="31" spans="1:69" ht="15" customHeight="1" x14ac:dyDescent="0.3">
      <c r="A31" s="5"/>
      <c r="B31" s="5"/>
      <c r="C31" s="5"/>
      <c r="D31" s="5"/>
      <c r="F31" s="6"/>
      <c r="G31" s="4"/>
      <c r="H31" s="4"/>
      <c r="I31" s="4" t="str">
        <f t="shared" si="51"/>
        <v/>
      </c>
      <c r="AZ31" s="3"/>
      <c r="BN31" s="7"/>
      <c r="BQ31" s="7"/>
    </row>
    <row r="32" spans="1:69" ht="15" customHeight="1" x14ac:dyDescent="0.3">
      <c r="A32" s="5"/>
      <c r="B32" s="5"/>
      <c r="C32" s="5"/>
      <c r="D32" s="5"/>
      <c r="F32" s="6"/>
      <c r="G32" s="4"/>
      <c r="H32" s="4"/>
      <c r="I32" s="4" t="str">
        <f t="shared" si="51"/>
        <v/>
      </c>
      <c r="AZ32" s="3"/>
      <c r="BN32" s="7"/>
      <c r="BQ32" s="7"/>
    </row>
    <row r="33" spans="1:69" ht="15" customHeight="1" x14ac:dyDescent="0.3">
      <c r="A33" s="5"/>
      <c r="B33" s="5"/>
      <c r="C33" s="5"/>
      <c r="D33" s="5"/>
      <c r="F33" s="6"/>
      <c r="G33" s="4"/>
      <c r="H33" s="4"/>
      <c r="I33" s="4" t="str">
        <f t="shared" si="51"/>
        <v/>
      </c>
      <c r="AZ33" s="3"/>
      <c r="BN33" s="7"/>
      <c r="BQ33" s="7"/>
    </row>
    <row r="34" spans="1:69" ht="15" customHeight="1" x14ac:dyDescent="0.3">
      <c r="A34" s="5"/>
      <c r="B34" s="5"/>
      <c r="C34" s="5"/>
      <c r="D34" s="5"/>
      <c r="F34" s="6"/>
      <c r="G34" s="4"/>
      <c r="H34" s="4"/>
      <c r="I34" s="4" t="str">
        <f t="shared" si="51"/>
        <v/>
      </c>
      <c r="AZ34" s="3"/>
      <c r="BN34" s="7"/>
      <c r="BQ34" s="7"/>
    </row>
    <row r="35" spans="1:69" ht="15" customHeight="1" x14ac:dyDescent="0.3">
      <c r="A35" s="5"/>
      <c r="B35" s="5"/>
      <c r="C35" s="5"/>
      <c r="D35" s="5"/>
      <c r="F35" s="6"/>
      <c r="G35" s="4"/>
      <c r="H35" s="4"/>
      <c r="I35" s="4" t="str">
        <f t="shared" si="51"/>
        <v/>
      </c>
      <c r="AZ35" s="3"/>
      <c r="BN35" s="7"/>
      <c r="BQ35" s="7"/>
    </row>
    <row r="36" spans="1:69" ht="15" customHeight="1" x14ac:dyDescent="0.3">
      <c r="A36" s="5"/>
      <c r="B36" s="5"/>
      <c r="C36" s="5"/>
      <c r="D36" s="5"/>
      <c r="F36" s="6"/>
      <c r="G36" s="4"/>
      <c r="H36" s="4"/>
      <c r="I36" s="4" t="str">
        <f t="shared" si="51"/>
        <v/>
      </c>
      <c r="AZ36" s="3"/>
      <c r="BN36" s="7"/>
      <c r="BQ36" s="7"/>
    </row>
    <row r="37" spans="1:69" ht="15" customHeight="1" x14ac:dyDescent="0.3">
      <c r="A37" s="5"/>
      <c r="B37" s="5"/>
      <c r="C37" s="5"/>
      <c r="D37" s="5"/>
      <c r="F37" s="6"/>
      <c r="G37" s="4"/>
      <c r="H37" s="4"/>
      <c r="I37" s="4" t="str">
        <f t="shared" si="51"/>
        <v/>
      </c>
      <c r="AZ37" s="3"/>
      <c r="BN37" s="7"/>
      <c r="BQ37" s="7"/>
    </row>
    <row r="38" spans="1:69" ht="15" customHeight="1" x14ac:dyDescent="0.3">
      <c r="A38" s="5"/>
      <c r="B38" s="5"/>
      <c r="C38" s="5"/>
      <c r="D38" s="5"/>
      <c r="F38" s="6"/>
      <c r="G38" s="4"/>
      <c r="H38" s="4"/>
      <c r="I38" s="4" t="str">
        <f t="shared" si="51"/>
        <v/>
      </c>
      <c r="AZ38" s="3"/>
      <c r="BN38" s="7"/>
      <c r="BQ38" s="7"/>
    </row>
    <row r="39" spans="1:69" ht="15" customHeight="1" x14ac:dyDescent="0.3">
      <c r="A39" s="5"/>
      <c r="B39" s="5"/>
      <c r="C39" s="5"/>
      <c r="D39" s="5"/>
      <c r="F39" s="6"/>
      <c r="G39" s="4"/>
      <c r="H39" s="4"/>
      <c r="I39" s="4" t="str">
        <f t="shared" si="51"/>
        <v/>
      </c>
      <c r="AZ39" s="3"/>
      <c r="BN39" s="7"/>
      <c r="BQ39" s="7"/>
    </row>
    <row r="40" spans="1:69" ht="15" customHeight="1" x14ac:dyDescent="0.3">
      <c r="A40" s="5"/>
      <c r="B40" s="5"/>
      <c r="C40" s="5"/>
      <c r="D40" s="5"/>
      <c r="F40" s="6"/>
      <c r="G40" s="4"/>
      <c r="H40" s="4"/>
      <c r="I40" s="4" t="str">
        <f t="shared" si="51"/>
        <v/>
      </c>
      <c r="AZ40" s="3"/>
      <c r="BN40" s="7"/>
      <c r="BQ40" s="7"/>
    </row>
    <row r="41" spans="1:69" ht="15" customHeight="1" x14ac:dyDescent="0.3">
      <c r="A41" s="5"/>
      <c r="B41" s="5"/>
      <c r="C41" s="5"/>
      <c r="D41" s="5"/>
      <c r="F41" s="6"/>
      <c r="G41" s="4"/>
      <c r="H41" s="4"/>
      <c r="I41" s="4" t="str">
        <f t="shared" si="51"/>
        <v/>
      </c>
      <c r="AZ41" s="3"/>
      <c r="BN41" s="7"/>
      <c r="BQ41" s="7"/>
    </row>
    <row r="42" spans="1:69" ht="15" customHeight="1" x14ac:dyDescent="0.3">
      <c r="A42" s="5"/>
      <c r="B42" s="5"/>
      <c r="C42" s="5"/>
      <c r="D42" s="5"/>
      <c r="F42" s="6"/>
      <c r="G42" s="4"/>
      <c r="H42" s="4"/>
      <c r="I42" s="4" t="str">
        <f t="shared" si="51"/>
        <v/>
      </c>
      <c r="AZ42" s="3"/>
      <c r="BN42" s="7"/>
      <c r="BQ42" s="7"/>
    </row>
    <row r="43" spans="1:69" ht="15" customHeight="1" x14ac:dyDescent="0.3">
      <c r="A43" s="5"/>
      <c r="B43" s="5"/>
      <c r="C43" s="5"/>
      <c r="D43" s="5"/>
      <c r="F43" s="6"/>
      <c r="G43" s="4"/>
      <c r="H43" s="4"/>
      <c r="I43" s="4" t="str">
        <f t="shared" si="51"/>
        <v/>
      </c>
      <c r="AZ43" s="3"/>
      <c r="BN43" s="7"/>
      <c r="BQ43" s="7"/>
    </row>
    <row r="44" spans="1:69" ht="15" customHeight="1" x14ac:dyDescent="0.3">
      <c r="A44" s="5"/>
      <c r="B44" s="5"/>
      <c r="C44" s="5"/>
      <c r="D44" s="5"/>
      <c r="F44" s="6"/>
      <c r="G44" s="4"/>
      <c r="H44" s="4"/>
      <c r="I44" s="4" t="str">
        <f t="shared" si="51"/>
        <v/>
      </c>
      <c r="AZ44" s="3"/>
      <c r="BN44" s="7"/>
      <c r="BQ44" s="7"/>
    </row>
    <row r="45" spans="1:69" ht="15" customHeight="1" x14ac:dyDescent="0.3">
      <c r="A45" s="5"/>
      <c r="B45" s="5"/>
      <c r="C45" s="5"/>
      <c r="D45" s="5"/>
      <c r="F45" s="6"/>
      <c r="G45" s="4"/>
      <c r="H45" s="4"/>
      <c r="I45" s="4" t="str">
        <f t="shared" si="51"/>
        <v/>
      </c>
      <c r="AZ45" s="3"/>
      <c r="BN45" s="7"/>
      <c r="BQ45" s="7"/>
    </row>
    <row r="46" spans="1:69" ht="15" customHeight="1" x14ac:dyDescent="0.3">
      <c r="A46" s="5"/>
      <c r="B46" s="5"/>
      <c r="C46" s="5"/>
      <c r="D46" s="5"/>
      <c r="F46" s="6"/>
      <c r="G46" s="4"/>
      <c r="H46" s="4"/>
      <c r="I46" s="4" t="str">
        <f t="shared" si="51"/>
        <v/>
      </c>
      <c r="AZ46" s="3"/>
      <c r="BN46" s="7"/>
      <c r="BQ46" s="7"/>
    </row>
    <row r="47" spans="1:69" ht="15" customHeight="1" x14ac:dyDescent="0.3">
      <c r="A47" s="5"/>
      <c r="B47" s="5"/>
      <c r="C47" s="5"/>
      <c r="D47" s="5"/>
      <c r="F47" s="6"/>
      <c r="G47" s="4"/>
      <c r="H47" s="4"/>
      <c r="I47" s="4" t="str">
        <f t="shared" si="51"/>
        <v/>
      </c>
      <c r="AZ47" s="3"/>
      <c r="BN47" s="7"/>
      <c r="BQ47" s="7"/>
    </row>
    <row r="48" spans="1:69" ht="15" customHeight="1" x14ac:dyDescent="0.3">
      <c r="A48" s="5"/>
      <c r="B48" s="5"/>
      <c r="C48" s="5"/>
      <c r="D48" s="5"/>
      <c r="F48" s="6"/>
      <c r="G48" s="4"/>
      <c r="H48" s="4"/>
      <c r="I48" s="4" t="str">
        <f t="shared" si="51"/>
        <v/>
      </c>
      <c r="AZ48" s="3"/>
      <c r="BN48" s="7"/>
      <c r="BQ48" s="7"/>
    </row>
    <row r="49" spans="1:69" ht="15" customHeight="1" x14ac:dyDescent="0.3">
      <c r="A49" s="5"/>
      <c r="B49" s="5"/>
      <c r="C49" s="5"/>
      <c r="D49" s="5"/>
      <c r="F49" s="6"/>
      <c r="G49" s="4"/>
      <c r="H49" s="4"/>
      <c r="I49" s="4" t="str">
        <f t="shared" si="51"/>
        <v/>
      </c>
      <c r="AZ49" s="3"/>
      <c r="BN49" s="7"/>
      <c r="BQ49" s="7"/>
    </row>
    <row r="50" spans="1:69" ht="15" customHeight="1" x14ac:dyDescent="0.3">
      <c r="A50" s="5"/>
      <c r="B50" s="5"/>
      <c r="C50" s="5"/>
      <c r="D50" s="5"/>
      <c r="F50" s="6"/>
      <c r="G50" s="4"/>
      <c r="H50" s="4"/>
      <c r="I50" s="4" t="str">
        <f t="shared" si="51"/>
        <v/>
      </c>
      <c r="AZ50" s="3"/>
      <c r="BN50" s="7"/>
      <c r="BQ50" s="7"/>
    </row>
    <row r="51" spans="1:69" ht="15" customHeight="1" x14ac:dyDescent="0.3">
      <c r="A51" s="5"/>
      <c r="B51" s="5"/>
      <c r="C51" s="5"/>
      <c r="D51" s="5"/>
      <c r="F51" s="6"/>
      <c r="G51" s="4"/>
      <c r="H51" s="4"/>
      <c r="I51" s="4" t="str">
        <f t="shared" si="51"/>
        <v/>
      </c>
      <c r="AZ51" s="3"/>
      <c r="BN51" s="7"/>
      <c r="BQ51" s="7"/>
    </row>
    <row r="52" spans="1:69" ht="15" customHeight="1" x14ac:dyDescent="0.3">
      <c r="A52" s="5"/>
      <c r="B52" s="5"/>
      <c r="C52" s="5"/>
      <c r="D52" s="5"/>
      <c r="F52" s="6"/>
      <c r="G52" s="4"/>
      <c r="H52" s="4"/>
      <c r="I52" s="4" t="str">
        <f t="shared" si="51"/>
        <v/>
      </c>
      <c r="AZ52" s="3"/>
      <c r="BN52" s="7"/>
      <c r="BQ52" s="7"/>
    </row>
    <row r="53" spans="1:69" ht="15" customHeight="1" x14ac:dyDescent="0.3">
      <c r="A53" s="5"/>
      <c r="B53" s="5"/>
      <c r="C53" s="5"/>
      <c r="D53" s="5"/>
      <c r="F53" s="6"/>
      <c r="G53" s="4"/>
      <c r="H53" s="4"/>
      <c r="I53" s="4" t="str">
        <f t="shared" si="51"/>
        <v/>
      </c>
      <c r="AZ53" s="3"/>
      <c r="BN53" s="7"/>
      <c r="BQ53" s="7"/>
    </row>
    <row r="54" spans="1:69" ht="15" customHeight="1" x14ac:dyDescent="0.3">
      <c r="A54" s="5"/>
      <c r="B54" s="5"/>
      <c r="C54" s="5"/>
      <c r="D54" s="5"/>
      <c r="F54" s="6"/>
      <c r="G54" s="4"/>
      <c r="H54" s="4"/>
      <c r="I54" s="4" t="str">
        <f t="shared" si="51"/>
        <v/>
      </c>
      <c r="AZ54" s="3"/>
      <c r="BN54" s="7"/>
      <c r="BQ54" s="7"/>
    </row>
    <row r="55" spans="1:69" ht="15" customHeight="1" x14ac:dyDescent="0.3">
      <c r="A55" s="5"/>
      <c r="B55" s="5"/>
      <c r="C55" s="5"/>
      <c r="D55" s="5"/>
      <c r="F55" s="6"/>
      <c r="G55" s="4"/>
      <c r="H55" s="4"/>
      <c r="I55" s="4" t="str">
        <f t="shared" si="51"/>
        <v/>
      </c>
      <c r="AZ55" s="3"/>
      <c r="BN55" s="7"/>
      <c r="BQ55" s="7"/>
    </row>
    <row r="56" spans="1:69" ht="15" customHeight="1" x14ac:dyDescent="0.3">
      <c r="A56" s="5"/>
      <c r="B56" s="5"/>
      <c r="C56" s="5"/>
      <c r="D56" s="5"/>
      <c r="F56" s="6"/>
      <c r="G56" s="4"/>
      <c r="H56" s="4"/>
      <c r="I56" s="4" t="str">
        <f t="shared" si="51"/>
        <v/>
      </c>
      <c r="AZ56" s="3"/>
      <c r="BN56" s="7"/>
      <c r="BQ56" s="7"/>
    </row>
    <row r="57" spans="1:69" ht="15" customHeight="1" x14ac:dyDescent="0.3">
      <c r="A57" s="5"/>
      <c r="B57" s="5"/>
      <c r="C57" s="5"/>
      <c r="D57" s="5"/>
      <c r="F57" s="6"/>
      <c r="G57" s="4"/>
      <c r="H57" s="4"/>
      <c r="I57" s="4" t="str">
        <f t="shared" si="51"/>
        <v/>
      </c>
      <c r="AZ57" s="3"/>
      <c r="BN57" s="7"/>
      <c r="BQ57" s="7"/>
    </row>
    <row r="58" spans="1:69" ht="15" customHeight="1" x14ac:dyDescent="0.3">
      <c r="A58" s="5"/>
      <c r="B58" s="5"/>
      <c r="C58" s="5"/>
      <c r="D58" s="5"/>
      <c r="F58" s="6"/>
      <c r="G58" s="4"/>
      <c r="H58" s="4"/>
      <c r="I58" s="4" t="str">
        <f t="shared" si="51"/>
        <v/>
      </c>
      <c r="AZ58" s="3"/>
      <c r="BN58" s="7"/>
      <c r="BQ58" s="7"/>
    </row>
    <row r="59" spans="1:69" ht="15" customHeight="1" x14ac:dyDescent="0.3">
      <c r="A59" s="5"/>
      <c r="B59" s="5"/>
      <c r="C59" s="5"/>
      <c r="D59" s="5"/>
      <c r="F59" s="6"/>
      <c r="G59" s="4"/>
      <c r="H59" s="4"/>
      <c r="I59" s="4" t="str">
        <f t="shared" si="51"/>
        <v/>
      </c>
      <c r="AZ59" s="3"/>
      <c r="BN59" s="7"/>
      <c r="BQ59" s="7"/>
    </row>
    <row r="60" spans="1:69" ht="15" customHeight="1" x14ac:dyDescent="0.3">
      <c r="A60" s="5"/>
      <c r="B60" s="5"/>
      <c r="C60" s="5"/>
      <c r="D60" s="5"/>
      <c r="F60" s="6"/>
      <c r="G60" s="4"/>
      <c r="H60" s="4"/>
      <c r="I60" s="4" t="str">
        <f t="shared" si="51"/>
        <v/>
      </c>
      <c r="AZ60" s="3"/>
      <c r="BN60" s="7"/>
      <c r="BQ60" s="7"/>
    </row>
    <row r="61" spans="1:69" ht="15" customHeight="1" x14ac:dyDescent="0.3">
      <c r="A61" s="5"/>
      <c r="B61" s="5"/>
      <c r="C61" s="5"/>
      <c r="D61" s="5"/>
      <c r="F61" s="6"/>
      <c r="G61" s="4"/>
      <c r="H61" s="4"/>
      <c r="I61" s="4" t="str">
        <f t="shared" si="51"/>
        <v/>
      </c>
      <c r="AZ61" s="3"/>
      <c r="BN61" s="7"/>
      <c r="BQ61" s="7"/>
    </row>
    <row r="62" spans="1:69" ht="15" customHeight="1" x14ac:dyDescent="0.3">
      <c r="A62" s="5"/>
      <c r="B62" s="5"/>
      <c r="C62" s="5"/>
      <c r="D62" s="5"/>
      <c r="F62" s="6"/>
      <c r="G62" s="4"/>
      <c r="H62" s="4"/>
      <c r="I62" s="4" t="str">
        <f t="shared" si="51"/>
        <v/>
      </c>
      <c r="AZ62" s="3"/>
      <c r="BN62" s="7"/>
      <c r="BQ62" s="7"/>
    </row>
    <row r="63" spans="1:69" ht="15" customHeight="1" x14ac:dyDescent="0.3">
      <c r="A63" s="5"/>
      <c r="B63" s="5"/>
      <c r="C63" s="5"/>
      <c r="D63" s="5"/>
      <c r="F63" s="6"/>
      <c r="G63" s="4"/>
      <c r="H63" s="4"/>
      <c r="I63" s="4" t="str">
        <f t="shared" si="51"/>
        <v/>
      </c>
      <c r="AZ63" s="3"/>
      <c r="BN63" s="7"/>
      <c r="BQ63" s="7"/>
    </row>
    <row r="64" spans="1:69" ht="15" customHeight="1" x14ac:dyDescent="0.3">
      <c r="A64" s="5"/>
      <c r="B64" s="5"/>
      <c r="C64" s="5"/>
      <c r="D64" s="5"/>
      <c r="F64" s="6"/>
      <c r="G64" s="4"/>
      <c r="H64" s="4"/>
      <c r="I64" s="4" t="str">
        <f t="shared" si="51"/>
        <v/>
      </c>
      <c r="AZ64" s="3"/>
      <c r="BN64" s="7"/>
      <c r="BQ64" s="7"/>
    </row>
    <row r="65" spans="1:69" ht="15" customHeight="1" x14ac:dyDescent="0.3">
      <c r="A65" s="5"/>
      <c r="B65" s="5"/>
      <c r="C65" s="5"/>
      <c r="D65" s="5"/>
      <c r="F65" s="6"/>
      <c r="G65" s="4"/>
      <c r="H65" s="4"/>
      <c r="I65" s="4" t="str">
        <f t="shared" si="51"/>
        <v/>
      </c>
      <c r="AZ65" s="3"/>
      <c r="BN65" s="7"/>
      <c r="BQ65" s="7"/>
    </row>
    <row r="66" spans="1:69" ht="15" customHeight="1" x14ac:dyDescent="0.3">
      <c r="A66" s="5"/>
      <c r="B66" s="5"/>
      <c r="C66" s="5"/>
      <c r="D66" s="5"/>
      <c r="F66" s="6"/>
      <c r="G66" s="4"/>
      <c r="H66" s="4"/>
      <c r="I66" s="4" t="str">
        <f t="shared" si="51"/>
        <v/>
      </c>
      <c r="AZ66" s="3"/>
      <c r="BN66" s="7"/>
      <c r="BQ66" s="7"/>
    </row>
    <row r="67" spans="1:69" ht="15" customHeight="1" x14ac:dyDescent="0.3">
      <c r="A67" s="5"/>
      <c r="B67" s="5"/>
      <c r="C67" s="5"/>
      <c r="D67" s="5"/>
      <c r="F67" s="6"/>
      <c r="G67" s="4"/>
      <c r="H67" s="4"/>
      <c r="I67" s="4" t="str">
        <f t="shared" ref="I67:I130" si="52">IFERROR(MID(A67,FIND("Sorry, the entered Application Number",A67),68),"")</f>
        <v/>
      </c>
      <c r="AZ67" s="3"/>
      <c r="BN67" s="7"/>
      <c r="BQ67" s="7"/>
    </row>
    <row r="68" spans="1:69" ht="15" customHeight="1" x14ac:dyDescent="0.3">
      <c r="A68" s="5"/>
      <c r="B68" s="5"/>
      <c r="C68" s="5"/>
      <c r="D68" s="5"/>
      <c r="F68" s="6"/>
      <c r="G68" s="4"/>
      <c r="H68" s="4"/>
      <c r="I68" s="4" t="str">
        <f t="shared" si="52"/>
        <v/>
      </c>
      <c r="AZ68" s="3"/>
      <c r="BN68" s="7"/>
      <c r="BQ68" s="7"/>
    </row>
    <row r="69" spans="1:69" ht="15" customHeight="1" x14ac:dyDescent="0.3">
      <c r="A69" s="5"/>
      <c r="B69" s="5"/>
      <c r="C69" s="5"/>
      <c r="D69" s="5"/>
      <c r="F69" s="6"/>
      <c r="G69" s="4"/>
      <c r="H69" s="4"/>
      <c r="I69" s="4" t="str">
        <f t="shared" si="52"/>
        <v/>
      </c>
      <c r="AZ69" s="3"/>
      <c r="BN69" s="7"/>
      <c r="BQ69" s="7"/>
    </row>
    <row r="70" spans="1:69" ht="15" customHeight="1" x14ac:dyDescent="0.3">
      <c r="A70" s="5"/>
      <c r="B70" s="5"/>
      <c r="C70" s="5"/>
      <c r="D70" s="5"/>
      <c r="F70" s="6"/>
      <c r="G70" s="4"/>
      <c r="H70" s="4"/>
      <c r="I70" s="4" t="str">
        <f t="shared" si="52"/>
        <v/>
      </c>
      <c r="AZ70" s="3"/>
      <c r="BN70" s="7"/>
      <c r="BQ70" s="7"/>
    </row>
    <row r="71" spans="1:69" ht="15" customHeight="1" x14ac:dyDescent="0.3">
      <c r="A71" s="5"/>
      <c r="B71" s="5"/>
      <c r="C71" s="5"/>
      <c r="D71" s="5"/>
      <c r="F71" s="6"/>
      <c r="G71" s="4"/>
      <c r="H71" s="4"/>
      <c r="I71" s="4" t="str">
        <f t="shared" si="52"/>
        <v/>
      </c>
      <c r="AZ71" s="3"/>
      <c r="BN71" s="7"/>
      <c r="BQ71" s="7"/>
    </row>
    <row r="72" spans="1:69" ht="15" customHeight="1" x14ac:dyDescent="0.3">
      <c r="A72" s="5"/>
      <c r="B72" s="5"/>
      <c r="C72" s="5"/>
      <c r="D72" s="5"/>
      <c r="F72" s="6"/>
      <c r="G72" s="4"/>
      <c r="H72" s="4"/>
      <c r="I72" s="4" t="str">
        <f t="shared" si="52"/>
        <v/>
      </c>
      <c r="BN72" s="7"/>
      <c r="BQ72" s="7"/>
    </row>
    <row r="73" spans="1:69" ht="15" customHeight="1" x14ac:dyDescent="0.3">
      <c r="A73" s="5"/>
      <c r="B73" s="5"/>
      <c r="C73" s="5"/>
      <c r="D73" s="5"/>
      <c r="F73" s="6"/>
      <c r="G73" s="4"/>
      <c r="H73" s="4"/>
      <c r="I73" s="4" t="str">
        <f t="shared" si="52"/>
        <v/>
      </c>
      <c r="BN73" s="7"/>
      <c r="BQ73" s="7"/>
    </row>
    <row r="74" spans="1:69" ht="15" customHeight="1" x14ac:dyDescent="0.3">
      <c r="A74" s="5"/>
      <c r="B74" s="5"/>
      <c r="C74" s="5"/>
      <c r="D74" s="5"/>
      <c r="F74" s="6"/>
      <c r="G74" s="4"/>
      <c r="H74" s="4"/>
      <c r="I74" s="4" t="str">
        <f t="shared" si="52"/>
        <v/>
      </c>
      <c r="BN74" s="7"/>
      <c r="BQ74" s="7"/>
    </row>
    <row r="75" spans="1:69" ht="15" customHeight="1" x14ac:dyDescent="0.3">
      <c r="A75" s="5"/>
      <c r="B75" s="5"/>
      <c r="C75" s="5"/>
      <c r="D75" s="5"/>
      <c r="F75" s="6"/>
      <c r="G75" s="4"/>
      <c r="H75" s="4"/>
      <c r="I75" s="4" t="str">
        <f t="shared" si="52"/>
        <v/>
      </c>
      <c r="BN75" s="7"/>
      <c r="BQ75" s="7"/>
    </row>
    <row r="76" spans="1:69" ht="15" customHeight="1" x14ac:dyDescent="0.3">
      <c r="A76" s="5"/>
      <c r="B76" s="5"/>
      <c r="C76" s="5"/>
      <c r="D76" s="5"/>
      <c r="F76" s="6"/>
      <c r="G76" s="4"/>
      <c r="H76" s="4"/>
      <c r="I76" s="4" t="str">
        <f t="shared" si="52"/>
        <v/>
      </c>
      <c r="BN76" s="7"/>
      <c r="BQ76" s="7"/>
    </row>
    <row r="77" spans="1:69" ht="15" customHeight="1" x14ac:dyDescent="0.3">
      <c r="A77" s="5"/>
      <c r="B77" s="5"/>
      <c r="C77" s="5"/>
      <c r="D77" s="5"/>
      <c r="F77" s="6"/>
      <c r="G77" s="4"/>
      <c r="H77" s="4"/>
      <c r="I77" s="4" t="str">
        <f t="shared" si="52"/>
        <v/>
      </c>
      <c r="BN77" s="7"/>
      <c r="BQ77" s="7"/>
    </row>
    <row r="78" spans="1:69" ht="15" customHeight="1" x14ac:dyDescent="0.3">
      <c r="A78" s="5"/>
      <c r="B78" s="5"/>
      <c r="C78" s="5"/>
      <c r="D78" s="5"/>
      <c r="F78" s="6"/>
      <c r="G78" s="4"/>
      <c r="H78" s="4"/>
      <c r="I78" s="4" t="str">
        <f t="shared" si="52"/>
        <v/>
      </c>
      <c r="BN78" s="7"/>
      <c r="BQ78" s="7"/>
    </row>
    <row r="79" spans="1:69" ht="15" customHeight="1" x14ac:dyDescent="0.3">
      <c r="A79" s="5"/>
      <c r="B79" s="5"/>
      <c r="C79" s="5"/>
      <c r="D79" s="5"/>
      <c r="F79" s="6"/>
      <c r="G79" s="4"/>
      <c r="H79" s="4"/>
      <c r="I79" s="4" t="str">
        <f t="shared" si="52"/>
        <v/>
      </c>
      <c r="BN79" s="7"/>
      <c r="BQ79" s="7"/>
    </row>
    <row r="80" spans="1:69" ht="15" customHeight="1" x14ac:dyDescent="0.3">
      <c r="A80" s="5"/>
      <c r="B80" s="5"/>
      <c r="C80" s="5"/>
      <c r="D80" s="5"/>
      <c r="F80" s="6"/>
      <c r="G80" s="4"/>
      <c r="H80" s="4"/>
      <c r="I80" s="4" t="str">
        <f t="shared" si="52"/>
        <v/>
      </c>
      <c r="BN80" s="7"/>
      <c r="BQ80" s="7"/>
    </row>
    <row r="81" spans="1:69" ht="15" customHeight="1" x14ac:dyDescent="0.3">
      <c r="A81" s="5"/>
      <c r="B81" s="5"/>
      <c r="C81" s="5"/>
      <c r="D81" s="5"/>
      <c r="F81" s="6"/>
      <c r="G81" s="4"/>
      <c r="H81" s="4"/>
      <c r="I81" s="4" t="str">
        <f t="shared" si="52"/>
        <v/>
      </c>
      <c r="BN81" s="7"/>
      <c r="BQ81" s="7"/>
    </row>
    <row r="82" spans="1:69" ht="15" customHeight="1" x14ac:dyDescent="0.3">
      <c r="A82" s="5"/>
      <c r="B82" s="5"/>
      <c r="C82" s="5"/>
      <c r="D82" s="5"/>
      <c r="F82" s="6"/>
      <c r="G82" s="4"/>
      <c r="H82" s="4"/>
      <c r="I82" s="4" t="str">
        <f t="shared" si="52"/>
        <v/>
      </c>
      <c r="BN82" s="7"/>
      <c r="BQ82" s="7"/>
    </row>
    <row r="83" spans="1:69" ht="15" customHeight="1" x14ac:dyDescent="0.3">
      <c r="A83" s="5"/>
      <c r="B83" s="5"/>
      <c r="C83" s="5"/>
      <c r="D83" s="5"/>
      <c r="F83" s="6"/>
      <c r="G83" s="4"/>
      <c r="H83" s="4"/>
      <c r="I83" s="4" t="str">
        <f t="shared" si="52"/>
        <v/>
      </c>
      <c r="BN83" s="7"/>
      <c r="BQ83" s="7"/>
    </row>
    <row r="84" spans="1:69" ht="15" customHeight="1" x14ac:dyDescent="0.3">
      <c r="A84" s="5"/>
      <c r="B84" s="5"/>
      <c r="C84" s="5"/>
      <c r="D84" s="5"/>
      <c r="F84" s="6"/>
      <c r="G84" s="4"/>
      <c r="H84" s="4"/>
      <c r="I84" s="4" t="str">
        <f t="shared" si="52"/>
        <v/>
      </c>
      <c r="BN84" s="7"/>
      <c r="BQ84" s="7"/>
    </row>
    <row r="85" spans="1:69" ht="15" customHeight="1" x14ac:dyDescent="0.3">
      <c r="A85" s="5"/>
      <c r="B85" s="5"/>
      <c r="C85" s="5"/>
      <c r="D85" s="5"/>
      <c r="F85" s="6"/>
      <c r="G85" s="4"/>
      <c r="H85" s="4"/>
      <c r="I85" s="4" t="str">
        <f t="shared" si="52"/>
        <v/>
      </c>
      <c r="BN85" s="7"/>
      <c r="BQ85" s="7"/>
    </row>
    <row r="86" spans="1:69" ht="15" customHeight="1" x14ac:dyDescent="0.3">
      <c r="A86" s="5"/>
      <c r="B86" s="5"/>
      <c r="C86" s="5"/>
      <c r="D86" s="5"/>
      <c r="F86" s="6"/>
      <c r="G86" s="4"/>
      <c r="H86" s="4"/>
      <c r="I86" s="4" t="str">
        <f t="shared" si="52"/>
        <v/>
      </c>
      <c r="BN86" s="7"/>
      <c r="BQ86" s="7"/>
    </row>
    <row r="87" spans="1:69" ht="15" customHeight="1" x14ac:dyDescent="0.3">
      <c r="A87" s="5"/>
      <c r="B87" s="5"/>
      <c r="C87" s="5"/>
      <c r="D87" s="5"/>
      <c r="F87" s="6"/>
      <c r="G87" s="4"/>
      <c r="H87" s="4"/>
      <c r="I87" s="4" t="str">
        <f t="shared" si="52"/>
        <v/>
      </c>
      <c r="BN87" s="7"/>
      <c r="BQ87" s="7"/>
    </row>
    <row r="88" spans="1:69" ht="15" customHeight="1" x14ac:dyDescent="0.3">
      <c r="A88" s="5"/>
      <c r="B88" s="5"/>
      <c r="C88" s="5"/>
      <c r="D88" s="5"/>
      <c r="F88" s="6"/>
      <c r="G88" s="4"/>
      <c r="H88" s="4"/>
      <c r="I88" s="4" t="str">
        <f t="shared" si="52"/>
        <v/>
      </c>
      <c r="BN88" s="7"/>
      <c r="BQ88" s="7"/>
    </row>
    <row r="89" spans="1:69" ht="15" customHeight="1" x14ac:dyDescent="0.3">
      <c r="A89" s="5"/>
      <c r="B89" s="5"/>
      <c r="C89" s="5"/>
      <c r="D89" s="5"/>
      <c r="F89" s="6"/>
      <c r="G89" s="4"/>
      <c r="H89" s="4"/>
      <c r="I89" s="4" t="str">
        <f t="shared" si="52"/>
        <v/>
      </c>
      <c r="BN89" s="7"/>
      <c r="BQ89" s="7"/>
    </row>
    <row r="90" spans="1:69" ht="15" customHeight="1" x14ac:dyDescent="0.3">
      <c r="A90" s="5"/>
      <c r="B90" s="5"/>
      <c r="C90" s="5"/>
      <c r="D90" s="5"/>
      <c r="F90" s="6"/>
      <c r="G90" s="4"/>
      <c r="H90" s="4"/>
      <c r="I90" s="4" t="str">
        <f t="shared" si="52"/>
        <v/>
      </c>
      <c r="BN90" s="7"/>
      <c r="BQ90" s="7"/>
    </row>
    <row r="91" spans="1:69" ht="15" customHeight="1" x14ac:dyDescent="0.3">
      <c r="A91" s="5"/>
      <c r="B91" s="5"/>
      <c r="C91" s="5"/>
      <c r="D91" s="5"/>
      <c r="F91" s="6"/>
      <c r="G91" s="4"/>
      <c r="H91" s="4"/>
      <c r="I91" s="4" t="str">
        <f t="shared" si="52"/>
        <v/>
      </c>
      <c r="BN91" s="7"/>
      <c r="BQ91" s="7"/>
    </row>
    <row r="92" spans="1:69" ht="15" customHeight="1" x14ac:dyDescent="0.3">
      <c r="A92" s="5"/>
      <c r="B92" s="5"/>
      <c r="C92" s="5"/>
      <c r="D92" s="5"/>
      <c r="F92" s="6"/>
      <c r="G92" s="4"/>
      <c r="H92" s="4"/>
      <c r="I92" s="4" t="str">
        <f t="shared" si="52"/>
        <v/>
      </c>
      <c r="BN92" s="7"/>
      <c r="BQ92" s="7"/>
    </row>
    <row r="93" spans="1:69" ht="15" customHeight="1" x14ac:dyDescent="0.3">
      <c r="A93" s="5"/>
      <c r="B93" s="5"/>
      <c r="C93" s="5"/>
      <c r="D93" s="5"/>
      <c r="F93" s="6"/>
      <c r="G93" s="4"/>
      <c r="H93" s="4"/>
      <c r="I93" s="4" t="str">
        <f t="shared" si="52"/>
        <v/>
      </c>
      <c r="BN93" s="7"/>
      <c r="BQ93" s="7"/>
    </row>
    <row r="94" spans="1:69" ht="15" customHeight="1" x14ac:dyDescent="0.3">
      <c r="A94" s="5"/>
      <c r="B94" s="5"/>
      <c r="C94" s="5"/>
      <c r="D94" s="5"/>
      <c r="F94" s="6"/>
      <c r="G94" s="4"/>
      <c r="H94" s="4"/>
      <c r="I94" s="4" t="str">
        <f t="shared" si="52"/>
        <v/>
      </c>
      <c r="BN94" s="7"/>
      <c r="BQ94" s="7"/>
    </row>
    <row r="95" spans="1:69" ht="15" customHeight="1" x14ac:dyDescent="0.3">
      <c r="A95" s="5"/>
      <c r="B95" s="5"/>
      <c r="C95" s="5"/>
      <c r="D95" s="5"/>
      <c r="F95" s="6"/>
      <c r="G95" s="4"/>
      <c r="H95" s="4"/>
      <c r="I95" s="4" t="str">
        <f t="shared" si="52"/>
        <v/>
      </c>
      <c r="BN95" s="7"/>
      <c r="BQ95" s="7"/>
    </row>
    <row r="96" spans="1:69" ht="15" customHeight="1" x14ac:dyDescent="0.3">
      <c r="A96" s="5"/>
      <c r="B96" s="5"/>
      <c r="C96" s="5"/>
      <c r="D96" s="5"/>
      <c r="F96" s="6"/>
      <c r="G96" s="4"/>
      <c r="H96" s="4"/>
      <c r="I96" s="4" t="str">
        <f t="shared" si="52"/>
        <v/>
      </c>
      <c r="BN96" s="7"/>
      <c r="BQ96" s="7"/>
    </row>
    <row r="97" spans="1:69" ht="15" customHeight="1" x14ac:dyDescent="0.3">
      <c r="A97" s="5"/>
      <c r="B97" s="5"/>
      <c r="C97" s="5"/>
      <c r="D97" s="5"/>
      <c r="F97" s="6"/>
      <c r="G97" s="4"/>
      <c r="H97" s="4"/>
      <c r="I97" s="4" t="str">
        <f t="shared" si="52"/>
        <v/>
      </c>
      <c r="BN97" s="7"/>
      <c r="BQ97" s="7"/>
    </row>
    <row r="98" spans="1:69" ht="15" customHeight="1" x14ac:dyDescent="0.3">
      <c r="A98" s="5"/>
      <c r="B98" s="5"/>
      <c r="C98" s="5"/>
      <c r="D98" s="5"/>
      <c r="F98" s="6"/>
      <c r="G98" s="4"/>
      <c r="H98" s="4"/>
      <c r="I98" s="4" t="str">
        <f t="shared" si="52"/>
        <v/>
      </c>
      <c r="BN98" s="7"/>
      <c r="BQ98" s="7"/>
    </row>
    <row r="99" spans="1:69" ht="15" customHeight="1" x14ac:dyDescent="0.3">
      <c r="A99" s="5"/>
      <c r="B99" s="5"/>
      <c r="C99" s="5"/>
      <c r="D99" s="5"/>
      <c r="F99" s="6"/>
      <c r="G99" s="4"/>
      <c r="H99" s="4"/>
      <c r="I99" s="4" t="str">
        <f t="shared" si="52"/>
        <v/>
      </c>
      <c r="BN99" s="7"/>
      <c r="BQ99" s="7"/>
    </row>
    <row r="100" spans="1:69" ht="15" customHeight="1" x14ac:dyDescent="0.3">
      <c r="A100" s="5"/>
      <c r="B100" s="5"/>
      <c r="C100" s="5"/>
      <c r="D100" s="5"/>
      <c r="F100" s="6"/>
      <c r="G100" s="4"/>
      <c r="H100" s="4"/>
      <c r="I100" s="4" t="str">
        <f t="shared" si="52"/>
        <v/>
      </c>
      <c r="BN100" s="7"/>
      <c r="BQ100" s="7"/>
    </row>
    <row r="101" spans="1:69" ht="15" customHeight="1" x14ac:dyDescent="0.3">
      <c r="A101" s="5"/>
      <c r="B101" s="5"/>
      <c r="C101" s="5"/>
      <c r="D101" s="5"/>
      <c r="F101" s="6"/>
      <c r="G101" s="4"/>
      <c r="H101" s="4"/>
      <c r="I101" s="4" t="str">
        <f t="shared" si="52"/>
        <v/>
      </c>
      <c r="BN101" s="7"/>
      <c r="BQ101" s="7"/>
    </row>
    <row r="102" spans="1:69" ht="15" customHeight="1" x14ac:dyDescent="0.3">
      <c r="A102" s="5"/>
      <c r="B102" s="5"/>
      <c r="C102" s="5"/>
      <c r="D102" s="5"/>
      <c r="F102" s="6"/>
      <c r="G102" s="4"/>
      <c r="H102" s="4"/>
      <c r="I102" s="4" t="str">
        <f t="shared" si="52"/>
        <v/>
      </c>
      <c r="BN102" s="7"/>
      <c r="BQ102" s="7"/>
    </row>
    <row r="103" spans="1:69" ht="15" customHeight="1" x14ac:dyDescent="0.3">
      <c r="A103" s="5"/>
      <c r="B103" s="5"/>
      <c r="C103" s="5"/>
      <c r="D103" s="5"/>
      <c r="F103" s="6"/>
      <c r="G103" s="4"/>
      <c r="H103" s="4"/>
      <c r="I103" s="4" t="str">
        <f t="shared" si="52"/>
        <v/>
      </c>
      <c r="BN103" s="7"/>
      <c r="BQ103" s="7"/>
    </row>
    <row r="104" spans="1:69" ht="15" customHeight="1" x14ac:dyDescent="0.3">
      <c r="A104" s="5"/>
      <c r="B104" s="5"/>
      <c r="C104" s="5"/>
      <c r="D104" s="5"/>
      <c r="F104" s="6"/>
      <c r="G104" s="4"/>
      <c r="H104" s="4"/>
      <c r="I104" s="4" t="str">
        <f t="shared" si="52"/>
        <v/>
      </c>
      <c r="BN104" s="7"/>
      <c r="BQ104" s="7"/>
    </row>
    <row r="105" spans="1:69" ht="15" customHeight="1" x14ac:dyDescent="0.3">
      <c r="A105" s="5"/>
      <c r="B105" s="5"/>
      <c r="C105" s="5"/>
      <c r="D105" s="5"/>
      <c r="F105" s="6"/>
      <c r="G105" s="4"/>
      <c r="H105" s="4"/>
      <c r="I105" s="4" t="str">
        <f t="shared" si="52"/>
        <v/>
      </c>
      <c r="BN105" s="7"/>
      <c r="BQ105" s="7"/>
    </row>
    <row r="106" spans="1:69" ht="15" customHeight="1" x14ac:dyDescent="0.3">
      <c r="A106" s="5"/>
      <c r="B106" s="5"/>
      <c r="C106" s="5"/>
      <c r="D106" s="5"/>
      <c r="F106" s="6"/>
      <c r="G106" s="4"/>
      <c r="H106" s="4"/>
      <c r="I106" s="4" t="str">
        <f t="shared" si="52"/>
        <v/>
      </c>
      <c r="BN106" s="7"/>
      <c r="BQ106" s="7"/>
    </row>
    <row r="107" spans="1:69" ht="15" customHeight="1" x14ac:dyDescent="0.3">
      <c r="A107" s="5"/>
      <c r="B107" s="5"/>
      <c r="C107" s="5"/>
      <c r="D107" s="5"/>
      <c r="F107" s="6"/>
      <c r="G107" s="4"/>
      <c r="H107" s="4"/>
      <c r="I107" s="4" t="str">
        <f t="shared" si="52"/>
        <v/>
      </c>
      <c r="BN107" s="7"/>
      <c r="BQ107" s="7"/>
    </row>
    <row r="108" spans="1:69" ht="15" customHeight="1" x14ac:dyDescent="0.3">
      <c r="A108" s="5"/>
      <c r="B108" s="5"/>
      <c r="C108" s="5"/>
      <c r="D108" s="5"/>
      <c r="F108" s="6"/>
      <c r="G108" s="4"/>
      <c r="H108" s="4"/>
      <c r="I108" s="4" t="str">
        <f t="shared" si="52"/>
        <v/>
      </c>
      <c r="BN108" s="7"/>
      <c r="BQ108" s="7"/>
    </row>
    <row r="109" spans="1:69" ht="15" customHeight="1" x14ac:dyDescent="0.3">
      <c r="A109" s="5"/>
      <c r="B109" s="5"/>
      <c r="C109" s="5"/>
      <c r="D109" s="5"/>
      <c r="F109" s="6"/>
      <c r="G109" s="4"/>
      <c r="H109" s="4"/>
      <c r="I109" s="4" t="str">
        <f t="shared" si="52"/>
        <v/>
      </c>
      <c r="BN109" s="7"/>
      <c r="BQ109" s="7"/>
    </row>
    <row r="110" spans="1:69" ht="15" customHeight="1" x14ac:dyDescent="0.3">
      <c r="A110" s="5"/>
      <c r="B110" s="5"/>
      <c r="C110" s="5"/>
      <c r="D110" s="5"/>
      <c r="F110" s="6"/>
      <c r="G110" s="4"/>
      <c r="H110" s="4"/>
      <c r="I110" s="4" t="str">
        <f t="shared" si="52"/>
        <v/>
      </c>
      <c r="BN110" s="7"/>
      <c r="BQ110" s="7"/>
    </row>
    <row r="111" spans="1:69" ht="15" customHeight="1" x14ac:dyDescent="0.3">
      <c r="A111" s="5"/>
      <c r="B111" s="5"/>
      <c r="C111" s="5"/>
      <c r="D111" s="5"/>
      <c r="F111" s="6"/>
      <c r="G111" s="4"/>
      <c r="H111" s="4"/>
      <c r="I111" s="4" t="str">
        <f t="shared" si="52"/>
        <v/>
      </c>
      <c r="BN111" s="7"/>
      <c r="BQ111" s="7"/>
    </row>
    <row r="112" spans="1:69" ht="15" customHeight="1" x14ac:dyDescent="0.3">
      <c r="A112" s="5"/>
      <c r="B112" s="5"/>
      <c r="C112" s="5"/>
      <c r="D112" s="5"/>
      <c r="F112" s="6"/>
      <c r="G112" s="4"/>
      <c r="H112" s="4"/>
      <c r="I112" s="4" t="str">
        <f t="shared" si="52"/>
        <v/>
      </c>
      <c r="BN112" s="7"/>
      <c r="BQ112" s="7"/>
    </row>
    <row r="113" spans="1:69" ht="15" customHeight="1" x14ac:dyDescent="0.3">
      <c r="A113" s="5"/>
      <c r="B113" s="5"/>
      <c r="C113" s="5"/>
      <c r="D113" s="5"/>
      <c r="F113" s="6"/>
      <c r="G113" s="4"/>
      <c r="H113" s="4"/>
      <c r="I113" s="4" t="str">
        <f t="shared" si="52"/>
        <v/>
      </c>
      <c r="BN113" s="7"/>
      <c r="BQ113" s="7"/>
    </row>
    <row r="114" spans="1:69" ht="15" customHeight="1" x14ac:dyDescent="0.3">
      <c r="A114" s="5"/>
      <c r="B114" s="5"/>
      <c r="C114" s="5"/>
      <c r="D114" s="5"/>
      <c r="F114" s="6"/>
      <c r="G114" s="4"/>
      <c r="H114" s="4"/>
      <c r="I114" s="4" t="str">
        <f t="shared" si="52"/>
        <v/>
      </c>
      <c r="BN114" s="7"/>
      <c r="BQ114" s="7"/>
    </row>
    <row r="115" spans="1:69" ht="15" customHeight="1" x14ac:dyDescent="0.3">
      <c r="A115" s="5"/>
      <c r="B115" s="5"/>
      <c r="C115" s="5"/>
      <c r="D115" s="5"/>
      <c r="F115" s="6"/>
      <c r="G115" s="4"/>
      <c r="H115" s="4"/>
      <c r="I115" s="4" t="str">
        <f t="shared" si="52"/>
        <v/>
      </c>
      <c r="BN115" s="7"/>
      <c r="BQ115" s="7"/>
    </row>
    <row r="116" spans="1:69" ht="15" customHeight="1" x14ac:dyDescent="0.3">
      <c r="A116" s="5"/>
      <c r="B116" s="5"/>
      <c r="C116" s="5"/>
      <c r="D116" s="5"/>
      <c r="F116" s="6"/>
      <c r="G116" s="4"/>
      <c r="H116" s="4"/>
      <c r="I116" s="4" t="str">
        <f t="shared" si="52"/>
        <v/>
      </c>
      <c r="BN116" s="7"/>
      <c r="BQ116" s="7"/>
    </row>
    <row r="117" spans="1:69" ht="15" customHeight="1" x14ac:dyDescent="0.3">
      <c r="A117" s="5"/>
      <c r="B117" s="5"/>
      <c r="C117" s="5"/>
      <c r="D117" s="5"/>
      <c r="F117" s="6"/>
      <c r="G117" s="4"/>
      <c r="H117" s="4"/>
      <c r="I117" s="4" t="str">
        <f t="shared" si="52"/>
        <v/>
      </c>
      <c r="BN117" s="7"/>
      <c r="BQ117" s="7"/>
    </row>
    <row r="118" spans="1:69" ht="15" customHeight="1" x14ac:dyDescent="0.3">
      <c r="A118" s="5"/>
      <c r="B118" s="5"/>
      <c r="C118" s="5"/>
      <c r="D118" s="5"/>
      <c r="F118" s="6"/>
      <c r="G118" s="4"/>
      <c r="H118" s="4"/>
      <c r="I118" s="4" t="str">
        <f t="shared" si="52"/>
        <v/>
      </c>
      <c r="BN118" s="7"/>
      <c r="BQ118" s="7"/>
    </row>
    <row r="119" spans="1:69" ht="15" customHeight="1" x14ac:dyDescent="0.3">
      <c r="A119" s="5"/>
      <c r="B119" s="5"/>
      <c r="C119" s="5"/>
      <c r="D119" s="5"/>
      <c r="F119" s="6"/>
      <c r="G119" s="4"/>
      <c r="H119" s="4"/>
      <c r="I119" s="4" t="str">
        <f t="shared" si="52"/>
        <v/>
      </c>
      <c r="BN119" s="7"/>
      <c r="BQ119" s="7"/>
    </row>
    <row r="120" spans="1:69" ht="15" customHeight="1" x14ac:dyDescent="0.3">
      <c r="A120" s="5"/>
      <c r="B120" s="5"/>
      <c r="C120" s="5"/>
      <c r="D120" s="5"/>
      <c r="F120" s="6"/>
      <c r="G120" s="4"/>
      <c r="H120" s="4"/>
      <c r="I120" s="4" t="str">
        <f t="shared" si="52"/>
        <v/>
      </c>
      <c r="BN120" s="7"/>
      <c r="BQ120" s="7"/>
    </row>
    <row r="121" spans="1:69" ht="15" customHeight="1" x14ac:dyDescent="0.3">
      <c r="A121" s="5"/>
      <c r="B121" s="5"/>
      <c r="C121" s="5"/>
      <c r="D121" s="5"/>
      <c r="F121" s="6"/>
      <c r="G121" s="4"/>
      <c r="H121" s="4"/>
      <c r="I121" s="4" t="str">
        <f t="shared" si="52"/>
        <v/>
      </c>
      <c r="BN121" s="7"/>
      <c r="BQ121" s="7"/>
    </row>
    <row r="122" spans="1:69" ht="15" customHeight="1" x14ac:dyDescent="0.3">
      <c r="A122" s="5"/>
      <c r="B122" s="5"/>
      <c r="C122" s="5"/>
      <c r="D122" s="5"/>
      <c r="F122" s="6"/>
      <c r="G122" s="4"/>
      <c r="H122" s="4"/>
      <c r="I122" s="4" t="str">
        <f t="shared" si="52"/>
        <v/>
      </c>
      <c r="BN122" s="7"/>
      <c r="BQ122" s="7"/>
    </row>
    <row r="123" spans="1:69" ht="15" customHeight="1" x14ac:dyDescent="0.3">
      <c r="A123" s="5"/>
      <c r="B123" s="5"/>
      <c r="C123" s="5"/>
      <c r="D123" s="5"/>
      <c r="F123" s="6"/>
      <c r="G123" s="4"/>
      <c r="H123" s="4"/>
      <c r="I123" s="4" t="str">
        <f t="shared" si="52"/>
        <v/>
      </c>
      <c r="BN123" s="7"/>
      <c r="BQ123" s="7"/>
    </row>
    <row r="124" spans="1:69" ht="15" customHeight="1" x14ac:dyDescent="0.3">
      <c r="A124" s="5"/>
      <c r="B124" s="5"/>
      <c r="C124" s="5"/>
      <c r="D124" s="5"/>
      <c r="F124" s="6"/>
      <c r="G124" s="4"/>
      <c r="H124" s="4"/>
      <c r="I124" s="4" t="str">
        <f t="shared" si="52"/>
        <v/>
      </c>
      <c r="BN124" s="7"/>
      <c r="BQ124" s="7"/>
    </row>
    <row r="125" spans="1:69" ht="15" customHeight="1" x14ac:dyDescent="0.3">
      <c r="A125" s="5"/>
      <c r="B125" s="5"/>
      <c r="C125" s="5"/>
      <c r="D125" s="5"/>
      <c r="F125" s="6"/>
      <c r="G125" s="4"/>
      <c r="H125" s="4"/>
      <c r="I125" s="4" t="str">
        <f t="shared" si="52"/>
        <v/>
      </c>
      <c r="BN125" s="7"/>
      <c r="BQ125" s="7"/>
    </row>
    <row r="126" spans="1:69" ht="15" customHeight="1" x14ac:dyDescent="0.3">
      <c r="A126" s="5"/>
      <c r="B126" s="5"/>
      <c r="C126" s="5"/>
      <c r="D126" s="5"/>
      <c r="F126" s="6"/>
      <c r="G126" s="4"/>
      <c r="H126" s="4"/>
      <c r="I126" s="4" t="str">
        <f t="shared" si="52"/>
        <v/>
      </c>
      <c r="BN126" s="7"/>
      <c r="BQ126" s="7"/>
    </row>
    <row r="127" spans="1:69" ht="15" customHeight="1" x14ac:dyDescent="0.3">
      <c r="A127" s="5"/>
      <c r="B127" s="5"/>
      <c r="C127" s="5"/>
      <c r="D127" s="5"/>
      <c r="F127" s="6"/>
      <c r="G127" s="4"/>
      <c r="H127" s="4"/>
      <c r="I127" s="4" t="str">
        <f t="shared" si="52"/>
        <v/>
      </c>
      <c r="BN127" s="7"/>
      <c r="BQ127" s="7"/>
    </row>
    <row r="128" spans="1:69" ht="15" customHeight="1" x14ac:dyDescent="0.3">
      <c r="A128" s="5"/>
      <c r="B128" s="5"/>
      <c r="C128" s="5"/>
      <c r="D128" s="5"/>
      <c r="F128" s="6"/>
      <c r="G128" s="4"/>
      <c r="H128" s="4"/>
      <c r="I128" s="4" t="str">
        <f t="shared" si="52"/>
        <v/>
      </c>
      <c r="BN128" s="7"/>
      <c r="BQ128" s="7"/>
    </row>
    <row r="129" spans="1:69" ht="15" customHeight="1" x14ac:dyDescent="0.3">
      <c r="A129" s="5"/>
      <c r="B129" s="5"/>
      <c r="C129" s="5"/>
      <c r="D129" s="5"/>
      <c r="F129" s="6"/>
      <c r="G129" s="4"/>
      <c r="H129" s="4"/>
      <c r="I129" s="4" t="str">
        <f t="shared" si="52"/>
        <v/>
      </c>
      <c r="BN129" s="7"/>
      <c r="BQ129" s="7"/>
    </row>
    <row r="130" spans="1:69" ht="15" customHeight="1" x14ac:dyDescent="0.3">
      <c r="A130" s="5"/>
      <c r="B130" s="5"/>
      <c r="C130" s="5"/>
      <c r="D130" s="5"/>
      <c r="F130" s="6"/>
      <c r="G130" s="4"/>
      <c r="H130" s="4"/>
      <c r="I130" s="4" t="str">
        <f t="shared" si="52"/>
        <v/>
      </c>
      <c r="BN130" s="7"/>
      <c r="BQ130" s="7"/>
    </row>
    <row r="131" spans="1:69" ht="15" customHeight="1" x14ac:dyDescent="0.3">
      <c r="A131" s="5"/>
      <c r="B131" s="5"/>
      <c r="C131" s="5"/>
      <c r="D131" s="5"/>
      <c r="F131" s="6"/>
      <c r="G131" s="4"/>
      <c r="H131" s="4"/>
      <c r="I131" s="4" t="str">
        <f t="shared" ref="I131:I194" si="53">IFERROR(MID(A131,FIND("Sorry, the entered Application Number",A131),68),"")</f>
        <v/>
      </c>
      <c r="BN131" s="7"/>
      <c r="BQ131" s="7"/>
    </row>
    <row r="132" spans="1:69" ht="15" customHeight="1" x14ac:dyDescent="0.3">
      <c r="A132" s="5"/>
      <c r="B132" s="5"/>
      <c r="C132" s="5"/>
      <c r="D132" s="5"/>
      <c r="F132" s="6"/>
      <c r="G132" s="4"/>
      <c r="H132" s="4"/>
      <c r="I132" s="4" t="str">
        <f t="shared" si="53"/>
        <v/>
      </c>
      <c r="BN132" s="7"/>
      <c r="BQ132" s="7"/>
    </row>
    <row r="133" spans="1:69" ht="15" customHeight="1" x14ac:dyDescent="0.3">
      <c r="A133" s="5"/>
      <c r="B133" s="5"/>
      <c r="C133" s="5"/>
      <c r="D133" s="5"/>
      <c r="F133" s="6"/>
      <c r="G133" s="4"/>
      <c r="H133" s="4"/>
      <c r="I133" s="4" t="str">
        <f t="shared" si="53"/>
        <v/>
      </c>
      <c r="BN133" s="7"/>
      <c r="BQ133" s="7"/>
    </row>
    <row r="134" spans="1:69" ht="15" customHeight="1" x14ac:dyDescent="0.3">
      <c r="A134" s="5"/>
      <c r="B134" s="5"/>
      <c r="C134" s="5"/>
      <c r="D134" s="5"/>
      <c r="F134" s="6"/>
      <c r="G134" s="4"/>
      <c r="H134" s="4"/>
      <c r="I134" s="4" t="str">
        <f t="shared" si="53"/>
        <v/>
      </c>
      <c r="BN134" s="7"/>
      <c r="BQ134" s="7"/>
    </row>
    <row r="135" spans="1:69" ht="15" customHeight="1" x14ac:dyDescent="0.3">
      <c r="A135" s="5"/>
      <c r="B135" s="5"/>
      <c r="C135" s="5"/>
      <c r="D135" s="5"/>
      <c r="F135" s="6"/>
      <c r="G135" s="4"/>
      <c r="H135" s="4"/>
      <c r="I135" s="4" t="str">
        <f t="shared" si="53"/>
        <v/>
      </c>
      <c r="BN135" s="7"/>
      <c r="BQ135" s="7"/>
    </row>
    <row r="136" spans="1:69" ht="15" customHeight="1" x14ac:dyDescent="0.3">
      <c r="A136" s="5"/>
      <c r="B136" s="5"/>
      <c r="C136" s="5"/>
      <c r="D136" s="5"/>
      <c r="F136" s="6"/>
      <c r="G136" s="4"/>
      <c r="H136" s="4"/>
      <c r="I136" s="4" t="str">
        <f t="shared" si="53"/>
        <v/>
      </c>
      <c r="BN136" s="7"/>
      <c r="BQ136" s="7"/>
    </row>
    <row r="137" spans="1:69" ht="15" customHeight="1" x14ac:dyDescent="0.3">
      <c r="A137" s="5"/>
      <c r="B137" s="5"/>
      <c r="C137" s="5"/>
      <c r="D137" s="5"/>
      <c r="F137" s="6"/>
      <c r="G137" s="4"/>
      <c r="H137" s="4"/>
      <c r="I137" s="4" t="str">
        <f t="shared" si="53"/>
        <v/>
      </c>
      <c r="BN137" s="7"/>
      <c r="BQ137" s="7"/>
    </row>
    <row r="138" spans="1:69" ht="15" customHeight="1" x14ac:dyDescent="0.3">
      <c r="A138" s="5"/>
      <c r="B138" s="5"/>
      <c r="C138" s="5"/>
      <c r="D138" s="5"/>
      <c r="F138" s="6"/>
      <c r="G138" s="4"/>
      <c r="H138" s="4"/>
      <c r="I138" s="4" t="str">
        <f t="shared" si="53"/>
        <v/>
      </c>
      <c r="BN138" s="7"/>
      <c r="BQ138" s="7"/>
    </row>
    <row r="139" spans="1:69" ht="15" customHeight="1" x14ac:dyDescent="0.3">
      <c r="A139" s="5"/>
      <c r="B139" s="5"/>
      <c r="C139" s="5"/>
      <c r="D139" s="5"/>
      <c r="F139" s="6"/>
      <c r="G139" s="4"/>
      <c r="H139" s="4"/>
      <c r="I139" s="4" t="str">
        <f t="shared" si="53"/>
        <v/>
      </c>
      <c r="BN139" s="7"/>
      <c r="BQ139" s="7"/>
    </row>
    <row r="140" spans="1:69" ht="15" customHeight="1" x14ac:dyDescent="0.3">
      <c r="A140" s="5"/>
      <c r="B140" s="5"/>
      <c r="C140" s="5"/>
      <c r="D140" s="5"/>
      <c r="F140" s="6"/>
      <c r="G140" s="4"/>
      <c r="H140" s="4"/>
      <c r="I140" s="4" t="str">
        <f t="shared" si="53"/>
        <v/>
      </c>
      <c r="BN140" s="7"/>
      <c r="BQ140" s="7"/>
    </row>
    <row r="141" spans="1:69" ht="15" customHeight="1" x14ac:dyDescent="0.3">
      <c r="A141" s="5"/>
      <c r="B141" s="5"/>
      <c r="C141" s="5"/>
      <c r="D141" s="5"/>
      <c r="F141" s="6"/>
      <c r="G141" s="4"/>
      <c r="H141" s="4"/>
      <c r="I141" s="4" t="str">
        <f t="shared" si="53"/>
        <v/>
      </c>
      <c r="BN141" s="7"/>
      <c r="BQ141" s="7"/>
    </row>
    <row r="142" spans="1:69" ht="15" customHeight="1" x14ac:dyDescent="0.3">
      <c r="A142" s="5"/>
      <c r="B142" s="5"/>
      <c r="C142" s="5"/>
      <c r="D142" s="5"/>
      <c r="F142" s="6"/>
      <c r="G142" s="4"/>
      <c r="H142" s="4"/>
      <c r="I142" s="4" t="str">
        <f t="shared" si="53"/>
        <v/>
      </c>
      <c r="BN142" s="7"/>
      <c r="BQ142" s="7"/>
    </row>
    <row r="143" spans="1:69" ht="15" customHeight="1" x14ac:dyDescent="0.3">
      <c r="A143" s="5"/>
      <c r="B143" s="5"/>
      <c r="C143" s="5"/>
      <c r="D143" s="5"/>
      <c r="F143" s="6"/>
      <c r="G143" s="4"/>
      <c r="H143" s="4"/>
      <c r="I143" s="4" t="str">
        <f t="shared" si="53"/>
        <v/>
      </c>
      <c r="BN143" s="7"/>
      <c r="BQ143" s="7"/>
    </row>
    <row r="144" spans="1:69" ht="15" customHeight="1" x14ac:dyDescent="0.3">
      <c r="A144" s="5"/>
      <c r="B144" s="5"/>
      <c r="C144" s="5"/>
      <c r="D144" s="5"/>
      <c r="F144" s="6"/>
      <c r="G144" s="4"/>
      <c r="H144" s="4"/>
      <c r="I144" s="4" t="str">
        <f t="shared" si="53"/>
        <v/>
      </c>
      <c r="BN144" s="7"/>
      <c r="BQ144" s="7"/>
    </row>
    <row r="145" spans="1:69" ht="15" customHeight="1" x14ac:dyDescent="0.3">
      <c r="A145" s="5"/>
      <c r="B145" s="5"/>
      <c r="C145" s="5"/>
      <c r="D145" s="5"/>
      <c r="F145" s="6"/>
      <c r="G145" s="4"/>
      <c r="H145" s="4"/>
      <c r="I145" s="4" t="str">
        <f t="shared" si="53"/>
        <v/>
      </c>
      <c r="BN145" s="7"/>
      <c r="BQ145" s="7"/>
    </row>
    <row r="146" spans="1:69" ht="15" customHeight="1" x14ac:dyDescent="0.3">
      <c r="A146" s="5"/>
      <c r="B146" s="5"/>
      <c r="C146" s="5"/>
      <c r="D146" s="5"/>
      <c r="F146" s="6"/>
      <c r="G146" s="4"/>
      <c r="H146" s="4"/>
      <c r="I146" s="4" t="str">
        <f t="shared" si="53"/>
        <v/>
      </c>
      <c r="BN146" s="7"/>
      <c r="BQ146" s="7"/>
    </row>
    <row r="147" spans="1:69" ht="15" customHeight="1" x14ac:dyDescent="0.3">
      <c r="A147" s="5"/>
      <c r="B147" s="5"/>
      <c r="C147" s="5"/>
      <c r="D147" s="5"/>
      <c r="F147" s="6"/>
      <c r="G147" s="4"/>
      <c r="H147" s="4"/>
      <c r="I147" s="4" t="str">
        <f t="shared" si="53"/>
        <v/>
      </c>
      <c r="BN147" s="7"/>
      <c r="BQ147" s="7"/>
    </row>
    <row r="148" spans="1:69" ht="15" customHeight="1" x14ac:dyDescent="0.3">
      <c r="A148" s="5"/>
      <c r="B148" s="5"/>
      <c r="C148" s="5"/>
      <c r="D148" s="5"/>
      <c r="F148" s="6"/>
      <c r="G148" s="4"/>
      <c r="H148" s="4"/>
      <c r="I148" s="4" t="str">
        <f t="shared" si="53"/>
        <v/>
      </c>
      <c r="BN148" s="7"/>
      <c r="BQ148" s="7"/>
    </row>
    <row r="149" spans="1:69" ht="15" customHeight="1" x14ac:dyDescent="0.3">
      <c r="A149" s="5"/>
      <c r="B149" s="5"/>
      <c r="C149" s="5"/>
      <c r="D149" s="5"/>
      <c r="F149" s="6"/>
      <c r="G149" s="4"/>
      <c r="H149" s="4"/>
      <c r="I149" s="4" t="str">
        <f t="shared" si="53"/>
        <v/>
      </c>
      <c r="BN149" s="7"/>
      <c r="BQ149" s="7"/>
    </row>
    <row r="150" spans="1:69" ht="15" customHeight="1" x14ac:dyDescent="0.3">
      <c r="A150" s="5"/>
      <c r="B150" s="5"/>
      <c r="C150" s="5"/>
      <c r="D150" s="5"/>
      <c r="F150" s="6"/>
      <c r="G150" s="4"/>
      <c r="H150" s="4"/>
      <c r="I150" s="4" t="str">
        <f t="shared" si="53"/>
        <v/>
      </c>
      <c r="BN150" s="7"/>
      <c r="BQ150" s="7"/>
    </row>
    <row r="151" spans="1:69" ht="15" customHeight="1" x14ac:dyDescent="0.3">
      <c r="A151" s="5"/>
      <c r="B151" s="5"/>
      <c r="C151" s="5"/>
      <c r="D151" s="5"/>
      <c r="F151" s="6"/>
      <c r="G151" s="4"/>
      <c r="H151" s="4"/>
      <c r="I151" s="4" t="str">
        <f t="shared" si="53"/>
        <v/>
      </c>
      <c r="BN151" s="7"/>
      <c r="BQ151" s="7"/>
    </row>
    <row r="152" spans="1:69" ht="15" customHeight="1" x14ac:dyDescent="0.3">
      <c r="A152" s="5"/>
      <c r="B152" s="5"/>
      <c r="C152" s="5"/>
      <c r="D152" s="5"/>
      <c r="F152" s="6"/>
      <c r="G152" s="4"/>
      <c r="H152" s="4"/>
      <c r="I152" s="4" t="str">
        <f t="shared" si="53"/>
        <v/>
      </c>
      <c r="BN152" s="7"/>
      <c r="BQ152" s="7"/>
    </row>
    <row r="153" spans="1:69" ht="15" customHeight="1" x14ac:dyDescent="0.3">
      <c r="A153" s="5"/>
      <c r="B153" s="5"/>
      <c r="C153" s="5"/>
      <c r="D153" s="5"/>
      <c r="F153" s="6"/>
      <c r="G153" s="4"/>
      <c r="H153" s="4"/>
      <c r="I153" s="4" t="str">
        <f t="shared" si="53"/>
        <v/>
      </c>
      <c r="BN153" s="7"/>
      <c r="BQ153" s="7"/>
    </row>
    <row r="154" spans="1:69" ht="15" customHeight="1" x14ac:dyDescent="0.3">
      <c r="A154" s="5"/>
      <c r="B154" s="5"/>
      <c r="C154" s="5"/>
      <c r="D154" s="5"/>
      <c r="F154" s="6"/>
      <c r="G154" s="4"/>
      <c r="H154" s="4"/>
      <c r="I154" s="4" t="str">
        <f t="shared" si="53"/>
        <v/>
      </c>
      <c r="BN154" s="7"/>
      <c r="BQ154" s="7"/>
    </row>
    <row r="155" spans="1:69" ht="15" customHeight="1" x14ac:dyDescent="0.3">
      <c r="A155" s="5"/>
      <c r="B155" s="5"/>
      <c r="C155" s="5"/>
      <c r="D155" s="5"/>
      <c r="F155" s="6"/>
      <c r="G155" s="4"/>
      <c r="H155" s="4"/>
      <c r="I155" s="4" t="str">
        <f t="shared" si="53"/>
        <v/>
      </c>
      <c r="BN155" s="7"/>
      <c r="BQ155" s="7"/>
    </row>
    <row r="156" spans="1:69" ht="15" customHeight="1" x14ac:dyDescent="0.3">
      <c r="A156" s="5"/>
      <c r="B156" s="5"/>
      <c r="C156" s="5"/>
      <c r="D156" s="5"/>
      <c r="F156" s="6"/>
      <c r="G156" s="4"/>
      <c r="H156" s="4"/>
      <c r="I156" s="4" t="str">
        <f t="shared" si="53"/>
        <v/>
      </c>
      <c r="BN156" s="7"/>
      <c r="BQ156" s="7"/>
    </row>
    <row r="157" spans="1:69" ht="15" customHeight="1" x14ac:dyDescent="0.3">
      <c r="A157" s="5"/>
      <c r="B157" s="5"/>
      <c r="C157" s="5"/>
      <c r="D157" s="5"/>
      <c r="F157" s="6"/>
      <c r="G157" s="4"/>
      <c r="H157" s="4"/>
      <c r="I157" s="4" t="str">
        <f t="shared" si="53"/>
        <v/>
      </c>
      <c r="BN157" s="7"/>
      <c r="BQ157" s="7"/>
    </row>
    <row r="158" spans="1:69" ht="15" customHeight="1" x14ac:dyDescent="0.3">
      <c r="A158" s="5"/>
      <c r="B158" s="5"/>
      <c r="C158" s="5"/>
      <c r="D158" s="5"/>
      <c r="F158" s="6"/>
      <c r="G158" s="4"/>
      <c r="H158" s="4"/>
      <c r="I158" s="4" t="str">
        <f t="shared" si="53"/>
        <v/>
      </c>
      <c r="BN158" s="7"/>
      <c r="BQ158" s="7"/>
    </row>
    <row r="159" spans="1:69" ht="15" customHeight="1" x14ac:dyDescent="0.3">
      <c r="A159" s="5"/>
      <c r="B159" s="5"/>
      <c r="C159" s="5"/>
      <c r="D159" s="5"/>
      <c r="F159" s="6"/>
      <c r="G159" s="4"/>
      <c r="H159" s="4"/>
      <c r="I159" s="4" t="str">
        <f t="shared" si="53"/>
        <v/>
      </c>
      <c r="BN159" s="7"/>
      <c r="BQ159" s="7"/>
    </row>
    <row r="160" spans="1:69" ht="15" customHeight="1" x14ac:dyDescent="0.3">
      <c r="A160" s="5"/>
      <c r="B160" s="5"/>
      <c r="C160" s="5"/>
      <c r="D160" s="5"/>
      <c r="F160" s="6"/>
      <c r="G160" s="4"/>
      <c r="H160" s="4"/>
      <c r="I160" s="4" t="str">
        <f t="shared" si="53"/>
        <v/>
      </c>
      <c r="BN160" s="7"/>
      <c r="BQ160" s="7"/>
    </row>
    <row r="161" spans="1:69" ht="15" customHeight="1" x14ac:dyDescent="0.3">
      <c r="A161" s="5"/>
      <c r="B161" s="5"/>
      <c r="C161" s="5"/>
      <c r="D161" s="5"/>
      <c r="F161" s="6"/>
      <c r="G161" s="4"/>
      <c r="H161" s="4"/>
      <c r="I161" s="4" t="str">
        <f t="shared" si="53"/>
        <v/>
      </c>
      <c r="BN161" s="7"/>
      <c r="BQ161" s="7"/>
    </row>
    <row r="162" spans="1:69" ht="15" customHeight="1" x14ac:dyDescent="0.3">
      <c r="A162" s="5"/>
      <c r="B162" s="5"/>
      <c r="C162" s="5"/>
      <c r="D162" s="5"/>
      <c r="F162" s="6"/>
      <c r="G162" s="4"/>
      <c r="H162" s="4"/>
      <c r="I162" s="4" t="str">
        <f t="shared" si="53"/>
        <v/>
      </c>
      <c r="BN162" s="7"/>
      <c r="BQ162" s="7"/>
    </row>
    <row r="163" spans="1:69" ht="15" customHeight="1" x14ac:dyDescent="0.3">
      <c r="A163" s="5"/>
      <c r="B163" s="5"/>
      <c r="C163" s="5"/>
      <c r="D163" s="5"/>
      <c r="F163" s="6"/>
      <c r="G163" s="4"/>
      <c r="H163" s="4"/>
      <c r="I163" s="4" t="str">
        <f t="shared" si="53"/>
        <v/>
      </c>
      <c r="BN163" s="7"/>
      <c r="BQ163" s="7"/>
    </row>
    <row r="164" spans="1:69" ht="15" customHeight="1" x14ac:dyDescent="0.3">
      <c r="A164" s="5"/>
      <c r="B164" s="5"/>
      <c r="C164" s="5"/>
      <c r="D164" s="5"/>
      <c r="F164" s="6"/>
      <c r="G164" s="4"/>
      <c r="H164" s="4"/>
      <c r="I164" s="4" t="str">
        <f t="shared" si="53"/>
        <v/>
      </c>
      <c r="BN164" s="7"/>
      <c r="BQ164" s="7"/>
    </row>
    <row r="165" spans="1:69" ht="15" customHeight="1" x14ac:dyDescent="0.3">
      <c r="A165" s="5"/>
      <c r="B165" s="5"/>
      <c r="C165" s="5"/>
      <c r="D165" s="5"/>
      <c r="F165" s="6"/>
      <c r="G165" s="4"/>
      <c r="H165" s="4"/>
      <c r="I165" s="4" t="str">
        <f t="shared" si="53"/>
        <v/>
      </c>
      <c r="BN165" s="7"/>
      <c r="BQ165" s="7"/>
    </row>
    <row r="166" spans="1:69" ht="15" customHeight="1" x14ac:dyDescent="0.3">
      <c r="A166" s="5"/>
      <c r="B166" s="5"/>
      <c r="C166" s="5"/>
      <c r="D166" s="5"/>
      <c r="F166" s="6"/>
      <c r="G166" s="4"/>
      <c r="H166" s="4"/>
      <c r="I166" s="4" t="str">
        <f t="shared" si="53"/>
        <v/>
      </c>
      <c r="BN166" s="7"/>
      <c r="BQ166" s="7"/>
    </row>
    <row r="167" spans="1:69" ht="15" customHeight="1" x14ac:dyDescent="0.3">
      <c r="A167" s="5"/>
      <c r="B167" s="5"/>
      <c r="C167" s="5"/>
      <c r="D167" s="5"/>
      <c r="F167" s="6"/>
      <c r="G167" s="4"/>
      <c r="H167" s="4"/>
      <c r="I167" s="4" t="str">
        <f t="shared" si="53"/>
        <v/>
      </c>
      <c r="BN167" s="7"/>
      <c r="BQ167" s="7"/>
    </row>
    <row r="168" spans="1:69" ht="15" customHeight="1" x14ac:dyDescent="0.3">
      <c r="A168" s="5"/>
      <c r="B168" s="5"/>
      <c r="C168" s="5"/>
      <c r="D168" s="5"/>
      <c r="F168" s="6"/>
      <c r="G168" s="4"/>
      <c r="H168" s="4"/>
      <c r="I168" s="4" t="str">
        <f t="shared" si="53"/>
        <v/>
      </c>
      <c r="BN168" s="7"/>
      <c r="BQ168" s="7"/>
    </row>
    <row r="169" spans="1:69" ht="15" customHeight="1" x14ac:dyDescent="0.3">
      <c r="A169" s="5"/>
      <c r="B169" s="5"/>
      <c r="C169" s="5"/>
      <c r="D169" s="5"/>
      <c r="F169" s="6"/>
      <c r="G169" s="4"/>
      <c r="H169" s="4"/>
      <c r="I169" s="4" t="str">
        <f t="shared" si="53"/>
        <v/>
      </c>
      <c r="BN169" s="7"/>
      <c r="BQ169" s="7"/>
    </row>
    <row r="170" spans="1:69" ht="15" customHeight="1" x14ac:dyDescent="0.3">
      <c r="A170" s="5"/>
      <c r="B170" s="5"/>
      <c r="C170" s="5"/>
      <c r="D170" s="5"/>
      <c r="F170" s="6"/>
      <c r="G170" s="4"/>
      <c r="H170" s="4"/>
      <c r="I170" s="4" t="str">
        <f t="shared" si="53"/>
        <v/>
      </c>
      <c r="BN170" s="7"/>
      <c r="BQ170" s="7"/>
    </row>
    <row r="171" spans="1:69" ht="15" customHeight="1" x14ac:dyDescent="0.3">
      <c r="A171" s="5"/>
      <c r="B171" s="5"/>
      <c r="C171" s="5"/>
      <c r="D171" s="5"/>
      <c r="F171" s="6"/>
      <c r="G171" s="4"/>
      <c r="H171" s="4"/>
      <c r="I171" s="4" t="str">
        <f t="shared" si="53"/>
        <v/>
      </c>
      <c r="BN171" s="7"/>
      <c r="BQ171" s="7"/>
    </row>
    <row r="172" spans="1:69" ht="15" customHeight="1" x14ac:dyDescent="0.3">
      <c r="A172" s="5"/>
      <c r="B172" s="5"/>
      <c r="C172" s="5"/>
      <c r="D172" s="5"/>
      <c r="F172" s="6"/>
      <c r="G172" s="4"/>
      <c r="H172" s="4"/>
      <c r="I172" s="4" t="str">
        <f t="shared" si="53"/>
        <v/>
      </c>
      <c r="BN172" s="7"/>
      <c r="BQ172" s="7"/>
    </row>
    <row r="173" spans="1:69" ht="15" customHeight="1" x14ac:dyDescent="0.3">
      <c r="A173" s="5"/>
      <c r="B173" s="5"/>
      <c r="C173" s="5"/>
      <c r="D173" s="5"/>
      <c r="F173" s="6"/>
      <c r="G173" s="4"/>
      <c r="H173" s="4"/>
      <c r="I173" s="4" t="str">
        <f t="shared" si="53"/>
        <v/>
      </c>
      <c r="BN173" s="7"/>
      <c r="BQ173" s="7"/>
    </row>
    <row r="174" spans="1:69" ht="15" customHeight="1" x14ac:dyDescent="0.3">
      <c r="A174" s="5"/>
      <c r="B174" s="5"/>
      <c r="C174" s="5"/>
      <c r="D174" s="5"/>
      <c r="F174" s="6"/>
      <c r="G174" s="4"/>
      <c r="H174" s="4"/>
      <c r="I174" s="4" t="str">
        <f t="shared" si="53"/>
        <v/>
      </c>
      <c r="BN174" s="7"/>
      <c r="BQ174" s="7"/>
    </row>
    <row r="175" spans="1:69" ht="15" customHeight="1" x14ac:dyDescent="0.3">
      <c r="A175" s="5"/>
      <c r="B175" s="5"/>
      <c r="C175" s="5"/>
      <c r="D175" s="5"/>
      <c r="F175" s="6"/>
      <c r="G175" s="4"/>
      <c r="H175" s="4"/>
      <c r="I175" s="4" t="str">
        <f t="shared" si="53"/>
        <v/>
      </c>
      <c r="BN175" s="7"/>
      <c r="BQ175" s="7"/>
    </row>
    <row r="176" spans="1:69" ht="15" customHeight="1" x14ac:dyDescent="0.3">
      <c r="A176" s="5"/>
      <c r="B176" s="5"/>
      <c r="C176" s="5"/>
      <c r="D176" s="5"/>
      <c r="F176" s="6"/>
      <c r="G176" s="4"/>
      <c r="H176" s="4"/>
      <c r="I176" s="4" t="str">
        <f t="shared" si="53"/>
        <v/>
      </c>
      <c r="BN176" s="7"/>
      <c r="BQ176" s="7"/>
    </row>
    <row r="177" spans="1:69" ht="15" customHeight="1" x14ac:dyDescent="0.3">
      <c r="A177" s="5"/>
      <c r="B177" s="5"/>
      <c r="C177" s="5"/>
      <c r="D177" s="5"/>
      <c r="F177" s="6"/>
      <c r="G177" s="4"/>
      <c r="H177" s="4"/>
      <c r="I177" s="4" t="str">
        <f t="shared" si="53"/>
        <v/>
      </c>
      <c r="BN177" s="7"/>
      <c r="BQ177" s="7"/>
    </row>
    <row r="178" spans="1:69" ht="15" customHeight="1" x14ac:dyDescent="0.3">
      <c r="A178" s="5"/>
      <c r="B178" s="5"/>
      <c r="C178" s="5"/>
      <c r="D178" s="5"/>
      <c r="F178" s="6"/>
      <c r="G178" s="4"/>
      <c r="H178" s="4"/>
      <c r="I178" s="4" t="str">
        <f t="shared" si="53"/>
        <v/>
      </c>
      <c r="BN178" s="7"/>
      <c r="BQ178" s="7"/>
    </row>
    <row r="179" spans="1:69" ht="15" customHeight="1" x14ac:dyDescent="0.3">
      <c r="A179" s="5"/>
      <c r="B179" s="5"/>
      <c r="C179" s="5"/>
      <c r="D179" s="5"/>
      <c r="F179" s="6"/>
      <c r="G179" s="4"/>
      <c r="H179" s="4"/>
      <c r="I179" s="4" t="str">
        <f t="shared" si="53"/>
        <v/>
      </c>
      <c r="BN179" s="7"/>
      <c r="BQ179" s="7"/>
    </row>
    <row r="180" spans="1:69" ht="15" customHeight="1" x14ac:dyDescent="0.3">
      <c r="A180" s="5"/>
      <c r="B180" s="5"/>
      <c r="C180" s="5"/>
      <c r="D180" s="5"/>
      <c r="F180" s="6"/>
      <c r="G180" s="4"/>
      <c r="H180" s="4"/>
      <c r="I180" s="4" t="str">
        <f t="shared" si="53"/>
        <v/>
      </c>
      <c r="BN180" s="7"/>
      <c r="BQ180" s="7"/>
    </row>
    <row r="181" spans="1:69" ht="15" customHeight="1" x14ac:dyDescent="0.3">
      <c r="A181" s="5"/>
      <c r="B181" s="5"/>
      <c r="C181" s="5"/>
      <c r="D181" s="5"/>
      <c r="F181" s="6"/>
      <c r="G181" s="4"/>
      <c r="H181" s="4"/>
      <c r="I181" s="4" t="str">
        <f t="shared" si="53"/>
        <v/>
      </c>
      <c r="BN181" s="7"/>
      <c r="BQ181" s="7"/>
    </row>
    <row r="182" spans="1:69" ht="15" customHeight="1" x14ac:dyDescent="0.3">
      <c r="A182" s="5"/>
      <c r="B182" s="5"/>
      <c r="C182" s="5"/>
      <c r="D182" s="5"/>
      <c r="F182" s="6"/>
      <c r="G182" s="4"/>
      <c r="H182" s="4"/>
      <c r="I182" s="4" t="str">
        <f t="shared" si="53"/>
        <v/>
      </c>
      <c r="BN182" s="7"/>
      <c r="BQ182" s="7"/>
    </row>
    <row r="183" spans="1:69" ht="15" customHeight="1" x14ac:dyDescent="0.3">
      <c r="A183" s="5"/>
      <c r="B183" s="5"/>
      <c r="C183" s="5"/>
      <c r="D183" s="5"/>
      <c r="F183" s="6"/>
      <c r="G183" s="4"/>
      <c r="H183" s="4"/>
      <c r="I183" s="4" t="str">
        <f t="shared" si="53"/>
        <v/>
      </c>
      <c r="BN183" s="7"/>
      <c r="BQ183" s="7"/>
    </row>
    <row r="184" spans="1:69" ht="15" customHeight="1" x14ac:dyDescent="0.3">
      <c r="A184" s="5"/>
      <c r="B184" s="5"/>
      <c r="C184" s="5"/>
      <c r="D184" s="5"/>
      <c r="F184" s="6"/>
      <c r="G184" s="4"/>
      <c r="H184" s="4"/>
      <c r="I184" s="4" t="str">
        <f t="shared" si="53"/>
        <v/>
      </c>
      <c r="BN184" s="7"/>
      <c r="BQ184" s="7"/>
    </row>
    <row r="185" spans="1:69" ht="15" customHeight="1" x14ac:dyDescent="0.3">
      <c r="A185" s="5"/>
      <c r="B185" s="5"/>
      <c r="C185" s="5"/>
      <c r="D185" s="5"/>
      <c r="F185" s="6"/>
      <c r="G185" s="4"/>
      <c r="H185" s="4"/>
      <c r="I185" s="4" t="str">
        <f t="shared" si="53"/>
        <v/>
      </c>
      <c r="BN185" s="7"/>
      <c r="BQ185" s="7"/>
    </row>
    <row r="186" spans="1:69" ht="15" customHeight="1" x14ac:dyDescent="0.3">
      <c r="A186" s="5"/>
      <c r="B186" s="5"/>
      <c r="C186" s="5"/>
      <c r="D186" s="5"/>
      <c r="F186" s="6"/>
      <c r="G186" s="4"/>
      <c r="H186" s="4"/>
      <c r="I186" s="4" t="str">
        <f t="shared" si="53"/>
        <v/>
      </c>
      <c r="BN186" s="7"/>
      <c r="BQ186" s="7"/>
    </row>
    <row r="187" spans="1:69" ht="15" customHeight="1" x14ac:dyDescent="0.3">
      <c r="A187" s="5"/>
      <c r="B187" s="5"/>
      <c r="C187" s="5"/>
      <c r="D187" s="5"/>
      <c r="F187" s="6"/>
      <c r="G187" s="4"/>
      <c r="H187" s="4"/>
      <c r="I187" s="4" t="str">
        <f t="shared" si="53"/>
        <v/>
      </c>
      <c r="BN187" s="7"/>
      <c r="BQ187" s="7"/>
    </row>
    <row r="188" spans="1:69" ht="15" customHeight="1" x14ac:dyDescent="0.3">
      <c r="A188" s="5"/>
      <c r="B188" s="5"/>
      <c r="C188" s="5"/>
      <c r="D188" s="5"/>
      <c r="F188" s="6"/>
      <c r="G188" s="4"/>
      <c r="H188" s="4"/>
      <c r="I188" s="4" t="str">
        <f t="shared" si="53"/>
        <v/>
      </c>
      <c r="BN188" s="7"/>
      <c r="BQ188" s="7"/>
    </row>
    <row r="189" spans="1:69" ht="15" customHeight="1" x14ac:dyDescent="0.3">
      <c r="A189" s="5"/>
      <c r="B189" s="5"/>
      <c r="C189" s="5"/>
      <c r="D189" s="5"/>
      <c r="F189" s="6"/>
      <c r="G189" s="4"/>
      <c r="H189" s="4"/>
      <c r="I189" s="4" t="str">
        <f t="shared" si="53"/>
        <v/>
      </c>
      <c r="BN189" s="7"/>
      <c r="BQ189" s="7"/>
    </row>
    <row r="190" spans="1:69" ht="15" customHeight="1" x14ac:dyDescent="0.3">
      <c r="A190" s="5"/>
      <c r="B190" s="5"/>
      <c r="C190" s="5"/>
      <c r="D190" s="5"/>
      <c r="F190" s="6"/>
      <c r="G190" s="4"/>
      <c r="H190" s="4"/>
      <c r="I190" s="4" t="str">
        <f t="shared" si="53"/>
        <v/>
      </c>
      <c r="BN190" s="7"/>
      <c r="BQ190" s="7"/>
    </row>
    <row r="191" spans="1:69" ht="15" customHeight="1" x14ac:dyDescent="0.3">
      <c r="A191" s="5"/>
      <c r="B191" s="5"/>
      <c r="C191" s="5"/>
      <c r="D191" s="5"/>
      <c r="F191" s="6"/>
      <c r="G191" s="4"/>
      <c r="H191" s="4"/>
      <c r="I191" s="4" t="str">
        <f t="shared" si="53"/>
        <v/>
      </c>
      <c r="BN191" s="7"/>
      <c r="BQ191" s="7"/>
    </row>
    <row r="192" spans="1:69" ht="15" customHeight="1" x14ac:dyDescent="0.3">
      <c r="A192" s="5"/>
      <c r="B192" s="5"/>
      <c r="C192" s="5"/>
      <c r="D192" s="5"/>
      <c r="F192" s="6"/>
      <c r="G192" s="4"/>
      <c r="H192" s="4"/>
      <c r="I192" s="4" t="str">
        <f t="shared" si="53"/>
        <v/>
      </c>
      <c r="BN192" s="7"/>
      <c r="BQ192" s="7"/>
    </row>
    <row r="193" spans="1:69" ht="15" customHeight="1" x14ac:dyDescent="0.3">
      <c r="A193" s="5"/>
      <c r="B193" s="5"/>
      <c r="C193" s="5"/>
      <c r="D193" s="5"/>
      <c r="F193" s="6"/>
      <c r="G193" s="4"/>
      <c r="H193" s="4"/>
      <c r="I193" s="4" t="str">
        <f t="shared" si="53"/>
        <v/>
      </c>
      <c r="BN193" s="7"/>
      <c r="BQ193" s="7"/>
    </row>
    <row r="194" spans="1:69" ht="15" customHeight="1" x14ac:dyDescent="0.3">
      <c r="A194" s="5"/>
      <c r="B194" s="5"/>
      <c r="C194" s="5"/>
      <c r="D194" s="5"/>
      <c r="F194" s="6"/>
      <c r="G194" s="4"/>
      <c r="H194" s="4"/>
      <c r="I194" s="4" t="str">
        <f t="shared" si="53"/>
        <v/>
      </c>
      <c r="BN194" s="7"/>
      <c r="BQ194" s="7"/>
    </row>
    <row r="195" spans="1:69" ht="15" customHeight="1" x14ac:dyDescent="0.3">
      <c r="A195" s="5"/>
      <c r="B195" s="5"/>
      <c r="C195" s="5"/>
      <c r="D195" s="5"/>
      <c r="F195" s="6"/>
      <c r="G195" s="4"/>
      <c r="H195" s="4"/>
      <c r="I195" s="4" t="str">
        <f t="shared" ref="I195:I258" si="54">IFERROR(MID(A195,FIND("Sorry, the entered Application Number",A195),68),"")</f>
        <v/>
      </c>
      <c r="BN195" s="7"/>
      <c r="BQ195" s="7"/>
    </row>
    <row r="196" spans="1:69" ht="15" customHeight="1" x14ac:dyDescent="0.3">
      <c r="A196" s="5"/>
      <c r="B196" s="5"/>
      <c r="C196" s="5"/>
      <c r="D196" s="5"/>
      <c r="F196" s="6"/>
      <c r="G196" s="4"/>
      <c r="H196" s="4"/>
      <c r="I196" s="4" t="str">
        <f t="shared" si="54"/>
        <v/>
      </c>
      <c r="BN196" s="7"/>
      <c r="BQ196" s="7"/>
    </row>
    <row r="197" spans="1:69" ht="15" customHeight="1" x14ac:dyDescent="0.3">
      <c r="A197" s="5"/>
      <c r="B197" s="5"/>
      <c r="C197" s="5"/>
      <c r="D197" s="5"/>
      <c r="F197" s="6"/>
      <c r="G197" s="4"/>
      <c r="H197" s="4"/>
      <c r="I197" s="4" t="str">
        <f t="shared" si="54"/>
        <v/>
      </c>
      <c r="BN197" s="7"/>
      <c r="BQ197" s="7"/>
    </row>
    <row r="198" spans="1:69" ht="15" customHeight="1" x14ac:dyDescent="0.3">
      <c r="A198" s="5"/>
      <c r="B198" s="5"/>
      <c r="C198" s="5"/>
      <c r="D198" s="5"/>
      <c r="F198" s="6"/>
      <c r="G198" s="4"/>
      <c r="H198" s="4"/>
      <c r="I198" s="4" t="str">
        <f t="shared" si="54"/>
        <v/>
      </c>
      <c r="BN198" s="7"/>
      <c r="BQ198" s="7"/>
    </row>
    <row r="199" spans="1:69" ht="15" customHeight="1" x14ac:dyDescent="0.3">
      <c r="A199" s="5"/>
      <c r="B199" s="5"/>
      <c r="C199" s="5"/>
      <c r="D199" s="5"/>
      <c r="F199" s="6"/>
      <c r="G199" s="4"/>
      <c r="H199" s="4"/>
      <c r="I199" s="4" t="str">
        <f t="shared" si="54"/>
        <v/>
      </c>
      <c r="BN199" s="7"/>
      <c r="BQ199" s="7"/>
    </row>
    <row r="200" spans="1:69" ht="15" customHeight="1" x14ac:dyDescent="0.3">
      <c r="A200" s="5"/>
      <c r="B200" s="5"/>
      <c r="C200" s="5"/>
      <c r="D200" s="5"/>
      <c r="F200" s="6"/>
      <c r="G200" s="4"/>
      <c r="H200" s="4"/>
      <c r="I200" s="4" t="str">
        <f t="shared" si="54"/>
        <v/>
      </c>
      <c r="BN200" s="7"/>
      <c r="BQ200" s="7"/>
    </row>
    <row r="201" spans="1:69" ht="15" customHeight="1" x14ac:dyDescent="0.3">
      <c r="A201" s="5"/>
      <c r="B201" s="5"/>
      <c r="C201" s="5"/>
      <c r="D201" s="5"/>
      <c r="F201" s="6"/>
      <c r="G201" s="4"/>
      <c r="H201" s="4"/>
      <c r="I201" s="4" t="str">
        <f t="shared" si="54"/>
        <v/>
      </c>
      <c r="BN201" s="7"/>
      <c r="BQ201" s="7"/>
    </row>
    <row r="202" spans="1:69" ht="15" customHeight="1" x14ac:dyDescent="0.3">
      <c r="A202" s="5"/>
      <c r="B202" s="5"/>
      <c r="C202" s="5"/>
      <c r="D202" s="5"/>
      <c r="F202" s="6"/>
      <c r="G202" s="4"/>
      <c r="H202" s="4"/>
      <c r="I202" s="4" t="str">
        <f t="shared" si="54"/>
        <v/>
      </c>
      <c r="BN202" s="7"/>
      <c r="BQ202" s="7"/>
    </row>
    <row r="203" spans="1:69" ht="15" customHeight="1" x14ac:dyDescent="0.3">
      <c r="A203" s="5"/>
      <c r="B203" s="5"/>
      <c r="C203" s="5"/>
      <c r="D203" s="5"/>
      <c r="F203" s="6"/>
      <c r="G203" s="4"/>
      <c r="H203" s="4"/>
      <c r="I203" s="4" t="str">
        <f t="shared" si="54"/>
        <v/>
      </c>
      <c r="BN203" s="7"/>
      <c r="BQ203" s="7"/>
    </row>
    <row r="204" spans="1:69" ht="15" customHeight="1" x14ac:dyDescent="0.3">
      <c r="A204" s="5"/>
      <c r="B204" s="5"/>
      <c r="C204" s="5"/>
      <c r="D204" s="5"/>
      <c r="F204" s="6"/>
      <c r="G204" s="4"/>
      <c r="H204" s="4"/>
      <c r="I204" s="4" t="str">
        <f t="shared" si="54"/>
        <v/>
      </c>
      <c r="BN204" s="7"/>
      <c r="BQ204" s="7"/>
    </row>
    <row r="205" spans="1:69" ht="15" customHeight="1" x14ac:dyDescent="0.3">
      <c r="A205" s="5"/>
      <c r="B205" s="5"/>
      <c r="C205" s="5"/>
      <c r="D205" s="5"/>
      <c r="F205" s="6"/>
      <c r="G205" s="4"/>
      <c r="H205" s="4"/>
      <c r="I205" s="4" t="str">
        <f t="shared" si="54"/>
        <v/>
      </c>
      <c r="BN205" s="7"/>
      <c r="BQ205" s="7"/>
    </row>
    <row r="206" spans="1:69" ht="15" customHeight="1" x14ac:dyDescent="0.3">
      <c r="A206" s="5"/>
      <c r="B206" s="5"/>
      <c r="C206" s="5"/>
      <c r="D206" s="5"/>
      <c r="F206" s="6"/>
      <c r="G206" s="4"/>
      <c r="H206" s="4"/>
      <c r="I206" s="4" t="str">
        <f t="shared" si="54"/>
        <v/>
      </c>
      <c r="BN206" s="7"/>
      <c r="BQ206" s="7"/>
    </row>
    <row r="207" spans="1:69" ht="15" customHeight="1" x14ac:dyDescent="0.3">
      <c r="A207" s="5"/>
      <c r="B207" s="5"/>
      <c r="C207" s="5"/>
      <c r="D207" s="5"/>
      <c r="F207" s="6"/>
      <c r="G207" s="4"/>
      <c r="H207" s="4"/>
      <c r="I207" s="4" t="str">
        <f t="shared" si="54"/>
        <v/>
      </c>
      <c r="BN207" s="7"/>
      <c r="BQ207" s="7"/>
    </row>
    <row r="208" spans="1:69" ht="15" customHeight="1" x14ac:dyDescent="0.3">
      <c r="A208" s="5"/>
      <c r="B208" s="5"/>
      <c r="C208" s="5"/>
      <c r="D208" s="5"/>
      <c r="F208" s="6"/>
      <c r="G208" s="4"/>
      <c r="H208" s="4"/>
      <c r="I208" s="4" t="str">
        <f t="shared" si="54"/>
        <v/>
      </c>
      <c r="BN208" s="7"/>
      <c r="BQ208" s="7"/>
    </row>
    <row r="209" spans="1:69" ht="15" customHeight="1" x14ac:dyDescent="0.3">
      <c r="A209" s="5"/>
      <c r="B209" s="5"/>
      <c r="C209" s="5"/>
      <c r="D209" s="5"/>
      <c r="F209" s="6"/>
      <c r="G209" s="4"/>
      <c r="H209" s="4"/>
      <c r="I209" s="4" t="str">
        <f t="shared" si="54"/>
        <v/>
      </c>
      <c r="BN209" s="7"/>
      <c r="BQ209" s="7"/>
    </row>
    <row r="210" spans="1:69" ht="15" customHeight="1" x14ac:dyDescent="0.3">
      <c r="A210" s="5"/>
      <c r="B210" s="5"/>
      <c r="C210" s="5"/>
      <c r="D210" s="5"/>
      <c r="F210" s="6"/>
      <c r="G210" s="4"/>
      <c r="H210" s="4"/>
      <c r="I210" s="4" t="str">
        <f t="shared" si="54"/>
        <v/>
      </c>
      <c r="BN210" s="7"/>
      <c r="BQ210" s="7"/>
    </row>
    <row r="211" spans="1:69" ht="15" customHeight="1" x14ac:dyDescent="0.3">
      <c r="A211" s="5"/>
      <c r="B211" s="5"/>
      <c r="C211" s="5"/>
      <c r="D211" s="5"/>
      <c r="F211" s="6"/>
      <c r="G211" s="4"/>
      <c r="H211" s="4"/>
      <c r="I211" s="4" t="str">
        <f t="shared" si="54"/>
        <v/>
      </c>
      <c r="BN211" s="7"/>
      <c r="BQ211" s="7"/>
    </row>
    <row r="212" spans="1:69" ht="15" customHeight="1" x14ac:dyDescent="0.3">
      <c r="A212" s="5"/>
      <c r="B212" s="5"/>
      <c r="C212" s="5"/>
      <c r="D212" s="5"/>
      <c r="F212" s="6"/>
      <c r="G212" s="4"/>
      <c r="H212" s="4"/>
      <c r="I212" s="4" t="str">
        <f t="shared" si="54"/>
        <v/>
      </c>
      <c r="BN212" s="7"/>
      <c r="BQ212" s="7"/>
    </row>
    <row r="213" spans="1:69" ht="15" customHeight="1" x14ac:dyDescent="0.3">
      <c r="A213" s="5"/>
      <c r="B213" s="5"/>
      <c r="C213" s="5"/>
      <c r="D213" s="5"/>
      <c r="F213" s="6"/>
      <c r="G213" s="4"/>
      <c r="H213" s="4"/>
      <c r="I213" s="4" t="str">
        <f t="shared" si="54"/>
        <v/>
      </c>
      <c r="BN213" s="7"/>
      <c r="BQ213" s="7"/>
    </row>
    <row r="214" spans="1:69" ht="15" customHeight="1" x14ac:dyDescent="0.3">
      <c r="A214" s="5"/>
      <c r="B214" s="5"/>
      <c r="C214" s="5"/>
      <c r="D214" s="5"/>
      <c r="F214" s="6"/>
      <c r="G214" s="4"/>
      <c r="H214" s="4"/>
      <c r="I214" s="4" t="str">
        <f t="shared" si="54"/>
        <v/>
      </c>
      <c r="BN214" s="7"/>
      <c r="BQ214" s="7"/>
    </row>
    <row r="215" spans="1:69" ht="15" customHeight="1" x14ac:dyDescent="0.3">
      <c r="A215" s="5"/>
      <c r="B215" s="5"/>
      <c r="C215" s="5"/>
      <c r="D215" s="5"/>
      <c r="F215" s="6"/>
      <c r="G215" s="4"/>
      <c r="H215" s="4"/>
      <c r="I215" s="4" t="str">
        <f t="shared" si="54"/>
        <v/>
      </c>
      <c r="BN215" s="7"/>
      <c r="BQ215" s="7"/>
    </row>
    <row r="216" spans="1:69" ht="15" customHeight="1" x14ac:dyDescent="0.3">
      <c r="A216" s="5"/>
      <c r="B216" s="5"/>
      <c r="C216" s="5"/>
      <c r="D216" s="5"/>
      <c r="F216" s="6"/>
      <c r="G216" s="4"/>
      <c r="H216" s="4"/>
      <c r="I216" s="4" t="str">
        <f t="shared" si="54"/>
        <v/>
      </c>
      <c r="BN216" s="7"/>
      <c r="BQ216" s="7"/>
    </row>
    <row r="217" spans="1:69" ht="15" customHeight="1" x14ac:dyDescent="0.3">
      <c r="A217" s="5"/>
      <c r="B217" s="5"/>
      <c r="C217" s="5"/>
      <c r="D217" s="5"/>
      <c r="F217" s="6"/>
      <c r="G217" s="4"/>
      <c r="H217" s="4"/>
      <c r="I217" s="4" t="str">
        <f t="shared" si="54"/>
        <v/>
      </c>
      <c r="BN217" s="7"/>
      <c r="BQ217" s="7"/>
    </row>
    <row r="218" spans="1:69" ht="15" customHeight="1" x14ac:dyDescent="0.3">
      <c r="A218" s="5"/>
      <c r="B218" s="5"/>
      <c r="C218" s="5"/>
      <c r="D218" s="5"/>
      <c r="F218" s="6"/>
      <c r="G218" s="4"/>
      <c r="H218" s="4"/>
      <c r="I218" s="4" t="str">
        <f t="shared" si="54"/>
        <v/>
      </c>
      <c r="BN218" s="7"/>
      <c r="BQ218" s="7"/>
    </row>
    <row r="219" spans="1:69" ht="15" customHeight="1" x14ac:dyDescent="0.3">
      <c r="A219" s="5"/>
      <c r="B219" s="5"/>
      <c r="C219" s="5"/>
      <c r="D219" s="5"/>
      <c r="F219" s="6"/>
      <c r="G219" s="4"/>
      <c r="H219" s="4"/>
      <c r="I219" s="4" t="str">
        <f t="shared" si="54"/>
        <v/>
      </c>
      <c r="BN219" s="7"/>
      <c r="BQ219" s="7"/>
    </row>
    <row r="220" spans="1:69" ht="15" customHeight="1" x14ac:dyDescent="0.3">
      <c r="A220" s="5"/>
      <c r="B220" s="5"/>
      <c r="C220" s="5"/>
      <c r="D220" s="5"/>
      <c r="F220" s="6"/>
      <c r="G220" s="4"/>
      <c r="H220" s="4"/>
      <c r="I220" s="4" t="str">
        <f t="shared" si="54"/>
        <v/>
      </c>
      <c r="BN220" s="7"/>
      <c r="BQ220" s="7"/>
    </row>
    <row r="221" spans="1:69" ht="15" customHeight="1" x14ac:dyDescent="0.3">
      <c r="A221" s="5"/>
      <c r="B221" s="5"/>
      <c r="C221" s="5"/>
      <c r="D221" s="5"/>
      <c r="F221" s="6"/>
      <c r="G221" s="4"/>
      <c r="H221" s="4"/>
      <c r="I221" s="4" t="str">
        <f t="shared" si="54"/>
        <v/>
      </c>
      <c r="BN221" s="7"/>
      <c r="BQ221" s="7"/>
    </row>
    <row r="222" spans="1:69" ht="15" customHeight="1" x14ac:dyDescent="0.3">
      <c r="A222" s="5"/>
      <c r="B222" s="5"/>
      <c r="C222" s="5"/>
      <c r="D222" s="5"/>
      <c r="F222" s="6"/>
      <c r="G222" s="4"/>
      <c r="H222" s="4"/>
      <c r="I222" s="4" t="str">
        <f t="shared" si="54"/>
        <v/>
      </c>
      <c r="BN222" s="7"/>
      <c r="BQ222" s="7"/>
    </row>
    <row r="223" spans="1:69" ht="15" customHeight="1" x14ac:dyDescent="0.3">
      <c r="A223" s="5"/>
      <c r="B223" s="5"/>
      <c r="C223" s="5"/>
      <c r="D223" s="5"/>
      <c r="F223" s="6"/>
      <c r="G223" s="4"/>
      <c r="H223" s="4"/>
      <c r="I223" s="4" t="str">
        <f t="shared" si="54"/>
        <v/>
      </c>
      <c r="BN223" s="7"/>
      <c r="BQ223" s="7"/>
    </row>
    <row r="224" spans="1:69" ht="15" customHeight="1" x14ac:dyDescent="0.3">
      <c r="A224" s="5"/>
      <c r="B224" s="5"/>
      <c r="C224" s="5"/>
      <c r="D224" s="5"/>
      <c r="F224" s="6"/>
      <c r="G224" s="4"/>
      <c r="H224" s="4"/>
      <c r="I224" s="4" t="str">
        <f t="shared" si="54"/>
        <v/>
      </c>
      <c r="BN224" s="7"/>
      <c r="BQ224" s="7"/>
    </row>
    <row r="225" spans="1:69" ht="15" customHeight="1" x14ac:dyDescent="0.3">
      <c r="A225" s="5"/>
      <c r="B225" s="5"/>
      <c r="C225" s="5"/>
      <c r="D225" s="5"/>
      <c r="F225" s="6"/>
      <c r="G225" s="4"/>
      <c r="H225" s="4"/>
      <c r="I225" s="4" t="str">
        <f t="shared" si="54"/>
        <v/>
      </c>
      <c r="BN225" s="7"/>
      <c r="BQ225" s="7"/>
    </row>
    <row r="226" spans="1:69" ht="15" customHeight="1" x14ac:dyDescent="0.3">
      <c r="A226" s="5"/>
      <c r="B226" s="5"/>
      <c r="C226" s="5"/>
      <c r="D226" s="5"/>
      <c r="F226" s="6"/>
      <c r="G226" s="4"/>
      <c r="H226" s="4"/>
      <c r="I226" s="4" t="str">
        <f t="shared" si="54"/>
        <v/>
      </c>
      <c r="BN226" s="7"/>
      <c r="BQ226" s="7"/>
    </row>
    <row r="227" spans="1:69" ht="15" customHeight="1" x14ac:dyDescent="0.3">
      <c r="A227" s="5"/>
      <c r="B227" s="5"/>
      <c r="C227" s="5"/>
      <c r="D227" s="5"/>
      <c r="F227" s="6"/>
      <c r="G227" s="4"/>
      <c r="H227" s="4"/>
      <c r="I227" s="4" t="str">
        <f t="shared" si="54"/>
        <v/>
      </c>
      <c r="BN227" s="7"/>
      <c r="BQ227" s="7"/>
    </row>
    <row r="228" spans="1:69" ht="15" customHeight="1" x14ac:dyDescent="0.3">
      <c r="A228" s="5"/>
      <c r="B228" s="5"/>
      <c r="C228" s="5"/>
      <c r="D228" s="5"/>
      <c r="F228" s="6"/>
      <c r="G228" s="4"/>
      <c r="H228" s="4"/>
      <c r="I228" s="4" t="str">
        <f t="shared" si="54"/>
        <v/>
      </c>
      <c r="BN228" s="7"/>
      <c r="BQ228" s="7"/>
    </row>
    <row r="229" spans="1:69" ht="15" customHeight="1" x14ac:dyDescent="0.3">
      <c r="A229" s="5"/>
      <c r="B229" s="5"/>
      <c r="C229" s="5"/>
      <c r="D229" s="5"/>
      <c r="F229" s="6"/>
      <c r="G229" s="4"/>
      <c r="H229" s="4"/>
      <c r="I229" s="4" t="str">
        <f t="shared" si="54"/>
        <v/>
      </c>
      <c r="BN229" s="7"/>
      <c r="BQ229" s="7"/>
    </row>
    <row r="230" spans="1:69" ht="15" customHeight="1" x14ac:dyDescent="0.3">
      <c r="A230" s="5"/>
      <c r="B230" s="5"/>
      <c r="C230" s="5"/>
      <c r="D230" s="5"/>
      <c r="F230" s="6"/>
      <c r="G230" s="4"/>
      <c r="H230" s="4"/>
      <c r="I230" s="4" t="str">
        <f t="shared" si="54"/>
        <v/>
      </c>
      <c r="BN230" s="7"/>
      <c r="BQ230" s="7"/>
    </row>
    <row r="231" spans="1:69" ht="15" customHeight="1" x14ac:dyDescent="0.3">
      <c r="A231" s="5"/>
      <c r="B231" s="5"/>
      <c r="C231" s="5"/>
      <c r="D231" s="5"/>
      <c r="F231" s="6"/>
      <c r="G231" s="4"/>
      <c r="H231" s="4"/>
      <c r="I231" s="4" t="str">
        <f t="shared" si="54"/>
        <v/>
      </c>
      <c r="BN231" s="7"/>
      <c r="BQ231" s="7"/>
    </row>
    <row r="232" spans="1:69" ht="15" customHeight="1" x14ac:dyDescent="0.3">
      <c r="A232" s="5"/>
      <c r="B232" s="5"/>
      <c r="C232" s="5"/>
      <c r="D232" s="5"/>
      <c r="F232" s="6"/>
      <c r="G232" s="4"/>
      <c r="H232" s="4"/>
      <c r="I232" s="4" t="str">
        <f t="shared" si="54"/>
        <v/>
      </c>
      <c r="BN232" s="7"/>
      <c r="BQ232" s="7"/>
    </row>
    <row r="233" spans="1:69" ht="15" customHeight="1" x14ac:dyDescent="0.3">
      <c r="A233" s="5"/>
      <c r="B233" s="5"/>
      <c r="C233" s="5"/>
      <c r="D233" s="5"/>
      <c r="F233" s="6"/>
      <c r="G233" s="4"/>
      <c r="H233" s="4"/>
      <c r="I233" s="4" t="str">
        <f t="shared" si="54"/>
        <v/>
      </c>
      <c r="BN233" s="7"/>
      <c r="BQ233" s="7"/>
    </row>
    <row r="234" spans="1:69" ht="15" customHeight="1" x14ac:dyDescent="0.3">
      <c r="A234" s="5"/>
      <c r="B234" s="5"/>
      <c r="C234" s="5"/>
      <c r="D234" s="5"/>
      <c r="F234" s="6"/>
      <c r="G234" s="4"/>
      <c r="H234" s="4"/>
      <c r="I234" s="4" t="str">
        <f t="shared" si="54"/>
        <v/>
      </c>
      <c r="BN234" s="7"/>
      <c r="BQ234" s="7"/>
    </row>
    <row r="235" spans="1:69" ht="15" customHeight="1" x14ac:dyDescent="0.3">
      <c r="A235" s="5"/>
      <c r="B235" s="5"/>
      <c r="C235" s="5"/>
      <c r="D235" s="5"/>
      <c r="F235" s="6"/>
      <c r="G235" s="4"/>
      <c r="H235" s="4"/>
      <c r="I235" s="4" t="str">
        <f t="shared" si="54"/>
        <v/>
      </c>
      <c r="BN235" s="7"/>
      <c r="BQ235" s="7"/>
    </row>
    <row r="236" spans="1:69" ht="15" customHeight="1" x14ac:dyDescent="0.3">
      <c r="A236" s="5"/>
      <c r="B236" s="5"/>
      <c r="C236" s="5"/>
      <c r="D236" s="5"/>
      <c r="F236" s="6"/>
      <c r="G236" s="4"/>
      <c r="H236" s="4"/>
      <c r="I236" s="4" t="str">
        <f t="shared" si="54"/>
        <v/>
      </c>
      <c r="BN236" s="7"/>
      <c r="BQ236" s="7"/>
    </row>
    <row r="237" spans="1:69" ht="15" customHeight="1" x14ac:dyDescent="0.3">
      <c r="A237" s="5"/>
      <c r="B237" s="5"/>
      <c r="C237" s="5"/>
      <c r="D237" s="5"/>
      <c r="F237" s="6"/>
      <c r="G237" s="4"/>
      <c r="H237" s="4"/>
      <c r="I237" s="4" t="str">
        <f t="shared" si="54"/>
        <v/>
      </c>
      <c r="BN237" s="7"/>
      <c r="BQ237" s="7"/>
    </row>
    <row r="238" spans="1:69" ht="15" customHeight="1" x14ac:dyDescent="0.3">
      <c r="A238" s="5"/>
      <c r="B238" s="5"/>
      <c r="C238" s="5"/>
      <c r="D238" s="5"/>
      <c r="F238" s="6"/>
      <c r="G238" s="4"/>
      <c r="H238" s="4"/>
      <c r="I238" s="4" t="str">
        <f t="shared" si="54"/>
        <v/>
      </c>
      <c r="BN238" s="7"/>
      <c r="BQ238" s="7"/>
    </row>
    <row r="239" spans="1:69" ht="15" customHeight="1" x14ac:dyDescent="0.3">
      <c r="A239" s="5"/>
      <c r="B239" s="5"/>
      <c r="C239" s="5"/>
      <c r="D239" s="5"/>
      <c r="F239" s="6"/>
      <c r="G239" s="4"/>
      <c r="H239" s="4"/>
      <c r="I239" s="4" t="str">
        <f t="shared" si="54"/>
        <v/>
      </c>
      <c r="BN239" s="7"/>
      <c r="BQ239" s="7"/>
    </row>
    <row r="240" spans="1:69" ht="15" customHeight="1" x14ac:dyDescent="0.3">
      <c r="A240" s="5"/>
      <c r="B240" s="5"/>
      <c r="C240" s="5"/>
      <c r="D240" s="5"/>
      <c r="F240" s="6"/>
      <c r="G240" s="4"/>
      <c r="H240" s="4"/>
      <c r="I240" s="4" t="str">
        <f t="shared" si="54"/>
        <v/>
      </c>
      <c r="BN240" s="7"/>
      <c r="BQ240" s="7"/>
    </row>
    <row r="241" spans="1:69" ht="15" customHeight="1" x14ac:dyDescent="0.3">
      <c r="A241" s="5"/>
      <c r="B241" s="5"/>
      <c r="C241" s="5"/>
      <c r="D241" s="5"/>
      <c r="F241" s="6"/>
      <c r="G241" s="4"/>
      <c r="H241" s="4"/>
      <c r="I241" s="4" t="str">
        <f t="shared" si="54"/>
        <v/>
      </c>
      <c r="BN241" s="7"/>
      <c r="BQ241" s="7"/>
    </row>
    <row r="242" spans="1:69" ht="15" customHeight="1" x14ac:dyDescent="0.3">
      <c r="A242" s="5"/>
      <c r="B242" s="5"/>
      <c r="C242" s="5"/>
      <c r="D242" s="5"/>
      <c r="F242" s="6"/>
      <c r="G242" s="4"/>
      <c r="H242" s="4"/>
      <c r="I242" s="4" t="str">
        <f t="shared" si="54"/>
        <v/>
      </c>
      <c r="BN242" s="7"/>
      <c r="BQ242" s="7"/>
    </row>
    <row r="243" spans="1:69" ht="15" customHeight="1" x14ac:dyDescent="0.3">
      <c r="A243" s="5"/>
      <c r="B243" s="5"/>
      <c r="C243" s="5"/>
      <c r="D243" s="5"/>
      <c r="F243" s="6"/>
      <c r="G243" s="4"/>
      <c r="H243" s="4"/>
      <c r="I243" s="4" t="str">
        <f t="shared" si="54"/>
        <v/>
      </c>
      <c r="BN243" s="7"/>
      <c r="BQ243" s="7"/>
    </row>
    <row r="244" spans="1:69" ht="15" customHeight="1" x14ac:dyDescent="0.3">
      <c r="A244" s="5"/>
      <c r="B244" s="5"/>
      <c r="C244" s="5"/>
      <c r="D244" s="5"/>
      <c r="F244" s="6"/>
      <c r="G244" s="4"/>
      <c r="H244" s="4"/>
      <c r="I244" s="4" t="str">
        <f t="shared" si="54"/>
        <v/>
      </c>
      <c r="BN244" s="7"/>
      <c r="BQ244" s="7"/>
    </row>
    <row r="245" spans="1:69" ht="15" customHeight="1" x14ac:dyDescent="0.3">
      <c r="A245" s="5"/>
      <c r="B245" s="5"/>
      <c r="C245" s="5"/>
      <c r="D245" s="5"/>
      <c r="F245" s="6"/>
      <c r="G245" s="4"/>
      <c r="H245" s="4"/>
      <c r="I245" s="4" t="str">
        <f t="shared" si="54"/>
        <v/>
      </c>
      <c r="BN245" s="7"/>
      <c r="BQ245" s="7"/>
    </row>
    <row r="246" spans="1:69" ht="15" customHeight="1" x14ac:dyDescent="0.3">
      <c r="A246" s="5"/>
      <c r="B246" s="5"/>
      <c r="C246" s="5"/>
      <c r="D246" s="5"/>
      <c r="F246" s="6"/>
      <c r="G246" s="4"/>
      <c r="H246" s="4"/>
      <c r="I246" s="4" t="str">
        <f t="shared" si="54"/>
        <v/>
      </c>
      <c r="BN246" s="7"/>
      <c r="BQ246" s="7"/>
    </row>
    <row r="247" spans="1:69" ht="15" customHeight="1" x14ac:dyDescent="0.3">
      <c r="A247" s="5"/>
      <c r="B247" s="5"/>
      <c r="C247" s="5"/>
      <c r="D247" s="5"/>
      <c r="F247" s="6"/>
      <c r="G247" s="4"/>
      <c r="H247" s="4"/>
      <c r="I247" s="4" t="str">
        <f t="shared" si="54"/>
        <v/>
      </c>
      <c r="BN247" s="7"/>
      <c r="BQ247" s="7"/>
    </row>
    <row r="248" spans="1:69" ht="15" customHeight="1" x14ac:dyDescent="0.3">
      <c r="A248" s="5"/>
      <c r="B248" s="5"/>
      <c r="C248" s="5"/>
      <c r="D248" s="5"/>
      <c r="F248" s="6"/>
      <c r="G248" s="4"/>
      <c r="H248" s="4"/>
      <c r="I248" s="4" t="str">
        <f t="shared" si="54"/>
        <v/>
      </c>
      <c r="BN248" s="7"/>
      <c r="BQ248" s="7"/>
    </row>
    <row r="249" spans="1:69" ht="15" customHeight="1" x14ac:dyDescent="0.3">
      <c r="A249" s="5"/>
      <c r="B249" s="5"/>
      <c r="C249" s="5"/>
      <c r="D249" s="5"/>
      <c r="F249" s="6"/>
      <c r="G249" s="4"/>
      <c r="H249" s="4"/>
      <c r="I249" s="4" t="str">
        <f t="shared" si="54"/>
        <v/>
      </c>
      <c r="BN249" s="7"/>
      <c r="BQ249" s="7"/>
    </row>
    <row r="250" spans="1:69" ht="15" customHeight="1" x14ac:dyDescent="0.3">
      <c r="A250" s="5"/>
      <c r="B250" s="5"/>
      <c r="C250" s="5"/>
      <c r="D250" s="5"/>
      <c r="F250" s="6"/>
      <c r="G250" s="4"/>
      <c r="H250" s="4"/>
      <c r="I250" s="4" t="str">
        <f t="shared" si="54"/>
        <v/>
      </c>
      <c r="BN250" s="7"/>
      <c r="BQ250" s="7"/>
    </row>
    <row r="251" spans="1:69" ht="15" customHeight="1" x14ac:dyDescent="0.3">
      <c r="A251" s="5"/>
      <c r="B251" s="5"/>
      <c r="C251" s="5"/>
      <c r="D251" s="5"/>
      <c r="F251" s="6"/>
      <c r="G251" s="4"/>
      <c r="H251" s="4"/>
      <c r="I251" s="4" t="str">
        <f t="shared" si="54"/>
        <v/>
      </c>
      <c r="BN251" s="7"/>
      <c r="BQ251" s="7"/>
    </row>
    <row r="252" spans="1:69" ht="15" customHeight="1" x14ac:dyDescent="0.3">
      <c r="A252" s="5"/>
      <c r="B252" s="5"/>
      <c r="C252" s="5"/>
      <c r="D252" s="5"/>
      <c r="F252" s="6"/>
      <c r="G252" s="4"/>
      <c r="H252" s="4"/>
      <c r="I252" s="4" t="str">
        <f t="shared" si="54"/>
        <v/>
      </c>
      <c r="BN252" s="7"/>
      <c r="BQ252" s="7"/>
    </row>
    <row r="253" spans="1:69" ht="15" customHeight="1" x14ac:dyDescent="0.3">
      <c r="A253" s="5"/>
      <c r="B253" s="5"/>
      <c r="C253" s="5"/>
      <c r="D253" s="5"/>
      <c r="F253" s="6"/>
      <c r="G253" s="4"/>
      <c r="H253" s="4"/>
      <c r="I253" s="4" t="str">
        <f t="shared" si="54"/>
        <v/>
      </c>
      <c r="BN253" s="7"/>
      <c r="BQ253" s="7"/>
    </row>
    <row r="254" spans="1:69" ht="15" customHeight="1" x14ac:dyDescent="0.3">
      <c r="A254" s="5"/>
      <c r="B254" s="5"/>
      <c r="C254" s="5"/>
      <c r="D254" s="5"/>
      <c r="F254" s="6"/>
      <c r="G254" s="4"/>
      <c r="H254" s="4"/>
      <c r="I254" s="4" t="str">
        <f t="shared" si="54"/>
        <v/>
      </c>
      <c r="BN254" s="7"/>
      <c r="BQ254" s="7"/>
    </row>
    <row r="255" spans="1:69" ht="15" customHeight="1" x14ac:dyDescent="0.3">
      <c r="A255" s="5"/>
      <c r="B255" s="5"/>
      <c r="C255" s="5"/>
      <c r="D255" s="5"/>
      <c r="F255" s="6"/>
      <c r="G255" s="4"/>
      <c r="H255" s="4"/>
      <c r="I255" s="4" t="str">
        <f t="shared" si="54"/>
        <v/>
      </c>
      <c r="BN255" s="7"/>
      <c r="BQ255" s="7"/>
    </row>
    <row r="256" spans="1:69" ht="15" customHeight="1" x14ac:dyDescent="0.3">
      <c r="A256" s="5"/>
      <c r="B256" s="5"/>
      <c r="C256" s="5"/>
      <c r="D256" s="5"/>
      <c r="F256" s="6"/>
      <c r="G256" s="4"/>
      <c r="H256" s="4"/>
      <c r="I256" s="4" t="str">
        <f t="shared" si="54"/>
        <v/>
      </c>
      <c r="BN256" s="7"/>
      <c r="BQ256" s="7"/>
    </row>
    <row r="257" spans="1:69" ht="15" customHeight="1" x14ac:dyDescent="0.3">
      <c r="A257" s="5"/>
      <c r="B257" s="5"/>
      <c r="C257" s="5"/>
      <c r="D257" s="5"/>
      <c r="F257" s="6"/>
      <c r="G257" s="4"/>
      <c r="H257" s="4"/>
      <c r="I257" s="4" t="str">
        <f t="shared" si="54"/>
        <v/>
      </c>
      <c r="BN257" s="7"/>
      <c r="BQ257" s="7"/>
    </row>
    <row r="258" spans="1:69" ht="15" customHeight="1" x14ac:dyDescent="0.3">
      <c r="A258" s="5"/>
      <c r="B258" s="5"/>
      <c r="C258" s="5"/>
      <c r="D258" s="5"/>
      <c r="F258" s="6"/>
      <c r="G258" s="4"/>
      <c r="H258" s="4"/>
      <c r="I258" s="4" t="str">
        <f t="shared" si="54"/>
        <v/>
      </c>
      <c r="BN258" s="7"/>
      <c r="BQ258" s="7"/>
    </row>
    <row r="259" spans="1:69" ht="15" customHeight="1" x14ac:dyDescent="0.3">
      <c r="A259" s="5"/>
      <c r="B259" s="5"/>
      <c r="C259" s="5"/>
      <c r="D259" s="5"/>
      <c r="F259" s="6"/>
      <c r="G259" s="4"/>
      <c r="H259" s="4"/>
      <c r="I259" s="4" t="str">
        <f t="shared" ref="I259:I322" si="55">IFERROR(MID(A259,FIND("Sorry, the entered Application Number",A259),68),"")</f>
        <v/>
      </c>
      <c r="BN259" s="7"/>
      <c r="BQ259" s="7"/>
    </row>
    <row r="260" spans="1:69" ht="15" customHeight="1" x14ac:dyDescent="0.3">
      <c r="A260" s="5"/>
      <c r="B260" s="5"/>
      <c r="C260" s="5"/>
      <c r="D260" s="5"/>
      <c r="F260" s="6"/>
      <c r="G260" s="4"/>
      <c r="H260" s="4"/>
      <c r="I260" s="4" t="str">
        <f t="shared" si="55"/>
        <v/>
      </c>
      <c r="BN260" s="7"/>
      <c r="BQ260" s="7"/>
    </row>
    <row r="261" spans="1:69" ht="15" customHeight="1" x14ac:dyDescent="0.3">
      <c r="A261" s="5"/>
      <c r="B261" s="5"/>
      <c r="C261" s="5"/>
      <c r="D261" s="5"/>
      <c r="F261" s="6"/>
      <c r="G261" s="4"/>
      <c r="H261" s="4"/>
      <c r="I261" s="4" t="str">
        <f t="shared" si="55"/>
        <v/>
      </c>
      <c r="BN261" s="7"/>
      <c r="BQ261" s="7"/>
    </row>
    <row r="262" spans="1:69" ht="15" customHeight="1" x14ac:dyDescent="0.3">
      <c r="A262" s="5"/>
      <c r="B262" s="5"/>
      <c r="C262" s="5"/>
      <c r="D262" s="5"/>
      <c r="F262" s="6"/>
      <c r="G262" s="4"/>
      <c r="H262" s="4"/>
      <c r="I262" s="4" t="str">
        <f t="shared" si="55"/>
        <v/>
      </c>
      <c r="BN262" s="7"/>
      <c r="BQ262" s="7"/>
    </row>
    <row r="263" spans="1:69" ht="15" customHeight="1" x14ac:dyDescent="0.3">
      <c r="A263" s="5"/>
      <c r="B263" s="5"/>
      <c r="C263" s="5"/>
      <c r="D263" s="5"/>
      <c r="F263" s="6"/>
      <c r="G263" s="4"/>
      <c r="H263" s="4"/>
      <c r="I263" s="4" t="str">
        <f t="shared" si="55"/>
        <v/>
      </c>
      <c r="BN263" s="7"/>
      <c r="BQ263" s="7"/>
    </row>
    <row r="264" spans="1:69" ht="15" customHeight="1" x14ac:dyDescent="0.3">
      <c r="A264" s="5"/>
      <c r="B264" s="5"/>
      <c r="C264" s="5"/>
      <c r="D264" s="5"/>
      <c r="F264" s="6"/>
      <c r="G264" s="4"/>
      <c r="H264" s="4"/>
      <c r="I264" s="4" t="str">
        <f t="shared" si="55"/>
        <v/>
      </c>
      <c r="BN264" s="7"/>
      <c r="BQ264" s="7"/>
    </row>
    <row r="265" spans="1:69" ht="15" customHeight="1" x14ac:dyDescent="0.3">
      <c r="A265" s="5"/>
      <c r="B265" s="5"/>
      <c r="C265" s="5"/>
      <c r="D265" s="5"/>
      <c r="F265" s="6"/>
      <c r="G265" s="4"/>
      <c r="H265" s="4"/>
      <c r="I265" s="4" t="str">
        <f t="shared" si="55"/>
        <v/>
      </c>
      <c r="BN265" s="7"/>
      <c r="BQ265" s="7"/>
    </row>
    <row r="266" spans="1:69" ht="15" customHeight="1" x14ac:dyDescent="0.3">
      <c r="A266" s="5"/>
      <c r="B266" s="5"/>
      <c r="C266" s="5"/>
      <c r="D266" s="5"/>
      <c r="F266" s="6"/>
      <c r="G266" s="4"/>
      <c r="H266" s="4"/>
      <c r="I266" s="4" t="str">
        <f t="shared" si="55"/>
        <v/>
      </c>
      <c r="BN266" s="7"/>
      <c r="BQ266" s="7"/>
    </row>
    <row r="267" spans="1:69" ht="15" customHeight="1" x14ac:dyDescent="0.3">
      <c r="A267" s="5"/>
      <c r="B267" s="5"/>
      <c r="C267" s="5"/>
      <c r="D267" s="5"/>
      <c r="F267" s="6"/>
      <c r="G267" s="4"/>
      <c r="H267" s="4"/>
      <c r="I267" s="4" t="str">
        <f t="shared" si="55"/>
        <v/>
      </c>
      <c r="BN267" s="7"/>
      <c r="BQ267" s="7"/>
    </row>
    <row r="268" spans="1:69" ht="15" customHeight="1" x14ac:dyDescent="0.3">
      <c r="A268" s="5"/>
      <c r="B268" s="5"/>
      <c r="C268" s="5"/>
      <c r="D268" s="5"/>
      <c r="F268" s="6"/>
      <c r="G268" s="4"/>
      <c r="H268" s="4"/>
      <c r="I268" s="4" t="str">
        <f t="shared" si="55"/>
        <v/>
      </c>
      <c r="BN268" s="7"/>
      <c r="BQ268" s="7"/>
    </row>
    <row r="269" spans="1:69" ht="15" customHeight="1" x14ac:dyDescent="0.3">
      <c r="A269" s="5"/>
      <c r="B269" s="5"/>
      <c r="C269" s="5"/>
      <c r="D269" s="5"/>
      <c r="F269" s="6"/>
      <c r="G269" s="4"/>
      <c r="H269" s="4"/>
      <c r="I269" s="4" t="str">
        <f t="shared" si="55"/>
        <v/>
      </c>
      <c r="BN269" s="7"/>
      <c r="BQ269" s="7"/>
    </row>
    <row r="270" spans="1:69" ht="15" customHeight="1" x14ac:dyDescent="0.3">
      <c r="A270" s="5"/>
      <c r="B270" s="5"/>
      <c r="C270" s="5"/>
      <c r="D270" s="5"/>
      <c r="F270" s="6"/>
      <c r="G270" s="4"/>
      <c r="H270" s="4"/>
      <c r="I270" s="4" t="str">
        <f t="shared" si="55"/>
        <v/>
      </c>
      <c r="BN270" s="7"/>
      <c r="BQ270" s="7"/>
    </row>
    <row r="271" spans="1:69" ht="15" customHeight="1" x14ac:dyDescent="0.3">
      <c r="A271" s="5"/>
      <c r="B271" s="5"/>
      <c r="C271" s="5"/>
      <c r="D271" s="5"/>
      <c r="F271" s="6"/>
      <c r="G271" s="4"/>
      <c r="H271" s="4"/>
      <c r="I271" s="4" t="str">
        <f t="shared" si="55"/>
        <v/>
      </c>
      <c r="BN271" s="7"/>
      <c r="BQ271" s="7"/>
    </row>
    <row r="272" spans="1:69" ht="15" customHeight="1" x14ac:dyDescent="0.3">
      <c r="A272" s="5"/>
      <c r="B272" s="5"/>
      <c r="C272" s="5"/>
      <c r="D272" s="5"/>
      <c r="F272" s="6"/>
      <c r="G272" s="4"/>
      <c r="H272" s="4"/>
      <c r="I272" s="4" t="str">
        <f t="shared" si="55"/>
        <v/>
      </c>
      <c r="BN272" s="7"/>
      <c r="BQ272" s="7"/>
    </row>
    <row r="273" spans="1:69" ht="15" customHeight="1" x14ac:dyDescent="0.3">
      <c r="A273" s="5"/>
      <c r="B273" s="5"/>
      <c r="C273" s="5"/>
      <c r="D273" s="5"/>
      <c r="F273" s="6"/>
      <c r="G273" s="4"/>
      <c r="H273" s="4"/>
      <c r="I273" s="4" t="str">
        <f t="shared" si="55"/>
        <v/>
      </c>
      <c r="BN273" s="7"/>
      <c r="BQ273" s="7"/>
    </row>
    <row r="274" spans="1:69" ht="15" customHeight="1" x14ac:dyDescent="0.3">
      <c r="A274" s="5"/>
      <c r="B274" s="5"/>
      <c r="C274" s="5"/>
      <c r="D274" s="5"/>
      <c r="F274" s="6"/>
      <c r="G274" s="4"/>
      <c r="H274" s="4"/>
      <c r="I274" s="4" t="str">
        <f t="shared" si="55"/>
        <v/>
      </c>
      <c r="BN274" s="7"/>
      <c r="BQ274" s="7"/>
    </row>
    <row r="275" spans="1:69" ht="15" customHeight="1" x14ac:dyDescent="0.3">
      <c r="A275" s="5"/>
      <c r="B275" s="5"/>
      <c r="C275" s="5"/>
      <c r="D275" s="5"/>
      <c r="F275" s="6"/>
      <c r="G275" s="4"/>
      <c r="H275" s="4"/>
      <c r="I275" s="4" t="str">
        <f t="shared" si="55"/>
        <v/>
      </c>
      <c r="BN275" s="7"/>
      <c r="BQ275" s="7"/>
    </row>
    <row r="276" spans="1:69" ht="15" customHeight="1" x14ac:dyDescent="0.3">
      <c r="A276" s="5"/>
      <c r="B276" s="5"/>
      <c r="C276" s="5"/>
      <c r="D276" s="5"/>
      <c r="F276" s="6"/>
      <c r="G276" s="4"/>
      <c r="H276" s="4"/>
      <c r="I276" s="4" t="str">
        <f t="shared" si="55"/>
        <v/>
      </c>
      <c r="BN276" s="7"/>
      <c r="BQ276" s="7"/>
    </row>
    <row r="277" spans="1:69" ht="15" customHeight="1" x14ac:dyDescent="0.3">
      <c r="A277" s="5"/>
      <c r="B277" s="5"/>
      <c r="C277" s="5"/>
      <c r="D277" s="5"/>
      <c r="F277" s="6"/>
      <c r="G277" s="4"/>
      <c r="H277" s="4"/>
      <c r="I277" s="4" t="str">
        <f t="shared" si="55"/>
        <v/>
      </c>
      <c r="BN277" s="7"/>
      <c r="BQ277" s="7"/>
    </row>
    <row r="278" spans="1:69" ht="15" customHeight="1" x14ac:dyDescent="0.3">
      <c r="A278" s="5"/>
      <c r="B278" s="5"/>
      <c r="C278" s="5"/>
      <c r="D278" s="5"/>
      <c r="F278" s="6"/>
      <c r="G278" s="4"/>
      <c r="H278" s="4"/>
      <c r="I278" s="4" t="str">
        <f t="shared" si="55"/>
        <v/>
      </c>
      <c r="BN278" s="7"/>
      <c r="BQ278" s="7"/>
    </row>
    <row r="279" spans="1:69" ht="15" customHeight="1" x14ac:dyDescent="0.3">
      <c r="A279" s="5"/>
      <c r="B279" s="5"/>
      <c r="C279" s="5"/>
      <c r="D279" s="5"/>
      <c r="F279" s="6"/>
      <c r="G279" s="4"/>
      <c r="H279" s="4"/>
      <c r="I279" s="4" t="str">
        <f t="shared" si="55"/>
        <v/>
      </c>
      <c r="BN279" s="7"/>
      <c r="BQ279" s="7"/>
    </row>
    <row r="280" spans="1:69" ht="15" customHeight="1" x14ac:dyDescent="0.3">
      <c r="A280" s="5"/>
      <c r="B280" s="5"/>
      <c r="C280" s="5"/>
      <c r="D280" s="5"/>
      <c r="F280" s="6"/>
      <c r="G280" s="4"/>
      <c r="H280" s="4"/>
      <c r="I280" s="4" t="str">
        <f t="shared" si="55"/>
        <v/>
      </c>
      <c r="BN280" s="7"/>
      <c r="BQ280" s="7"/>
    </row>
    <row r="281" spans="1:69" ht="15" customHeight="1" x14ac:dyDescent="0.3">
      <c r="A281" s="5"/>
      <c r="B281" s="5"/>
      <c r="C281" s="5"/>
      <c r="D281" s="5"/>
      <c r="F281" s="6"/>
      <c r="G281" s="4"/>
      <c r="H281" s="4"/>
      <c r="I281" s="4" t="str">
        <f t="shared" si="55"/>
        <v/>
      </c>
      <c r="BN281" s="7"/>
      <c r="BQ281" s="7"/>
    </row>
    <row r="282" spans="1:69" ht="15" customHeight="1" x14ac:dyDescent="0.3">
      <c r="A282" s="5"/>
      <c r="B282" s="5"/>
      <c r="C282" s="5"/>
      <c r="D282" s="5"/>
      <c r="F282" s="6"/>
      <c r="G282" s="4"/>
      <c r="H282" s="4"/>
      <c r="I282" s="4" t="str">
        <f t="shared" si="55"/>
        <v/>
      </c>
      <c r="BN282" s="7"/>
      <c r="BQ282" s="7"/>
    </row>
    <row r="283" spans="1:69" ht="15" customHeight="1" x14ac:dyDescent="0.3">
      <c r="A283" s="5"/>
      <c r="B283" s="5"/>
      <c r="C283" s="5"/>
      <c r="D283" s="5"/>
      <c r="F283" s="6"/>
      <c r="G283" s="4"/>
      <c r="H283" s="4"/>
      <c r="I283" s="4" t="str">
        <f t="shared" si="55"/>
        <v/>
      </c>
      <c r="BN283" s="7"/>
      <c r="BQ283" s="7"/>
    </row>
    <row r="284" spans="1:69" ht="15" customHeight="1" x14ac:dyDescent="0.3">
      <c r="A284" s="5"/>
      <c r="B284" s="5"/>
      <c r="C284" s="5"/>
      <c r="D284" s="5"/>
      <c r="F284" s="6"/>
      <c r="G284" s="4"/>
      <c r="H284" s="4"/>
      <c r="I284" s="4" t="str">
        <f t="shared" si="55"/>
        <v/>
      </c>
      <c r="BN284" s="7"/>
      <c r="BQ284" s="7"/>
    </row>
    <row r="285" spans="1:69" ht="15" customHeight="1" x14ac:dyDescent="0.3">
      <c r="A285" s="5"/>
      <c r="B285" s="5"/>
      <c r="C285" s="5"/>
      <c r="D285" s="5"/>
      <c r="F285" s="6"/>
      <c r="G285" s="4"/>
      <c r="H285" s="4"/>
      <c r="I285" s="4" t="str">
        <f t="shared" si="55"/>
        <v/>
      </c>
      <c r="BN285" s="7"/>
      <c r="BQ285" s="7"/>
    </row>
    <row r="286" spans="1:69" ht="15" customHeight="1" x14ac:dyDescent="0.3">
      <c r="A286" s="5"/>
      <c r="B286" s="5"/>
      <c r="C286" s="5"/>
      <c r="D286" s="5"/>
      <c r="F286" s="6"/>
      <c r="G286" s="4"/>
      <c r="H286" s="4"/>
      <c r="I286" s="4" t="str">
        <f t="shared" si="55"/>
        <v/>
      </c>
      <c r="BN286" s="7"/>
      <c r="BQ286" s="7"/>
    </row>
    <row r="287" spans="1:69" ht="15" customHeight="1" x14ac:dyDescent="0.3">
      <c r="A287" s="5"/>
      <c r="B287" s="5"/>
      <c r="C287" s="5"/>
      <c r="D287" s="5"/>
      <c r="F287" s="6"/>
      <c r="G287" s="4"/>
      <c r="H287" s="4"/>
      <c r="I287" s="4" t="str">
        <f t="shared" si="55"/>
        <v/>
      </c>
      <c r="BN287" s="7"/>
      <c r="BQ287" s="7"/>
    </row>
    <row r="288" spans="1:69" ht="15" customHeight="1" x14ac:dyDescent="0.3">
      <c r="A288" s="5"/>
      <c r="B288" s="5"/>
      <c r="C288" s="5"/>
      <c r="D288" s="5"/>
      <c r="F288" s="6"/>
      <c r="G288" s="4"/>
      <c r="H288" s="4"/>
      <c r="I288" s="4" t="str">
        <f t="shared" si="55"/>
        <v/>
      </c>
      <c r="BN288" s="7"/>
      <c r="BQ288" s="7"/>
    </row>
    <row r="289" spans="1:69" ht="15" customHeight="1" x14ac:dyDescent="0.3">
      <c r="A289" s="5"/>
      <c r="B289" s="5"/>
      <c r="C289" s="5"/>
      <c r="D289" s="5"/>
      <c r="F289" s="6"/>
      <c r="G289" s="4"/>
      <c r="H289" s="4"/>
      <c r="I289" s="4" t="str">
        <f t="shared" si="55"/>
        <v/>
      </c>
      <c r="BN289" s="7"/>
      <c r="BQ289" s="7"/>
    </row>
    <row r="290" spans="1:69" ht="15" customHeight="1" x14ac:dyDescent="0.3">
      <c r="A290" s="5"/>
      <c r="B290" s="5"/>
      <c r="C290" s="5"/>
      <c r="D290" s="5"/>
      <c r="F290" s="6"/>
      <c r="G290" s="4"/>
      <c r="H290" s="4"/>
      <c r="I290" s="4" t="str">
        <f t="shared" si="55"/>
        <v/>
      </c>
      <c r="BN290" s="7"/>
      <c r="BQ290" s="7"/>
    </row>
    <row r="291" spans="1:69" ht="15" customHeight="1" x14ac:dyDescent="0.3">
      <c r="A291" s="5"/>
      <c r="B291" s="5"/>
      <c r="C291" s="5"/>
      <c r="D291" s="5"/>
      <c r="F291" s="6"/>
      <c r="G291" s="4"/>
      <c r="H291" s="4"/>
      <c r="I291" s="4" t="str">
        <f t="shared" si="55"/>
        <v/>
      </c>
      <c r="BN291" s="7"/>
      <c r="BQ291" s="7"/>
    </row>
    <row r="292" spans="1:69" ht="15" customHeight="1" x14ac:dyDescent="0.3">
      <c r="A292" s="5"/>
      <c r="B292" s="5"/>
      <c r="C292" s="5"/>
      <c r="D292" s="5"/>
      <c r="F292" s="6"/>
      <c r="G292" s="4"/>
      <c r="H292" s="4"/>
      <c r="I292" s="4" t="str">
        <f t="shared" si="55"/>
        <v/>
      </c>
      <c r="BN292" s="7"/>
      <c r="BQ292" s="7"/>
    </row>
    <row r="293" spans="1:69" ht="15" customHeight="1" x14ac:dyDescent="0.3">
      <c r="A293" s="5"/>
      <c r="B293" s="5"/>
      <c r="C293" s="5"/>
      <c r="D293" s="5"/>
      <c r="F293" s="6"/>
      <c r="G293" s="4"/>
      <c r="H293" s="4"/>
      <c r="I293" s="4" t="str">
        <f t="shared" si="55"/>
        <v/>
      </c>
      <c r="BN293" s="7"/>
      <c r="BQ293" s="7"/>
    </row>
    <row r="294" spans="1:69" ht="15" customHeight="1" x14ac:dyDescent="0.3">
      <c r="A294" s="5"/>
      <c r="B294" s="5"/>
      <c r="C294" s="5"/>
      <c r="D294" s="5"/>
      <c r="F294" s="6"/>
      <c r="G294" s="4"/>
      <c r="H294" s="4"/>
      <c r="I294" s="4" t="str">
        <f t="shared" si="55"/>
        <v/>
      </c>
      <c r="BN294" s="7"/>
      <c r="BQ294" s="7"/>
    </row>
    <row r="295" spans="1:69" ht="15" customHeight="1" x14ac:dyDescent="0.3">
      <c r="A295" s="5"/>
      <c r="B295" s="5"/>
      <c r="C295" s="5"/>
      <c r="D295" s="5"/>
      <c r="F295" s="6"/>
      <c r="G295" s="4"/>
      <c r="H295" s="4"/>
      <c r="I295" s="4" t="str">
        <f t="shared" si="55"/>
        <v/>
      </c>
      <c r="BN295" s="7"/>
      <c r="BQ295" s="7"/>
    </row>
    <row r="296" spans="1:69" ht="15" customHeight="1" x14ac:dyDescent="0.3">
      <c r="A296" s="5"/>
      <c r="B296" s="5"/>
      <c r="C296" s="5"/>
      <c r="D296" s="5"/>
      <c r="F296" s="6"/>
      <c r="G296" s="4"/>
      <c r="H296" s="4"/>
      <c r="I296" s="4" t="str">
        <f t="shared" si="55"/>
        <v/>
      </c>
      <c r="BN296" s="7"/>
      <c r="BQ296" s="7"/>
    </row>
    <row r="297" spans="1:69" ht="15" customHeight="1" x14ac:dyDescent="0.3">
      <c r="A297" s="5"/>
      <c r="B297" s="5"/>
      <c r="C297" s="5"/>
      <c r="D297" s="5"/>
      <c r="F297" s="6"/>
      <c r="G297" s="4"/>
      <c r="H297" s="4"/>
      <c r="I297" s="4" t="str">
        <f t="shared" si="55"/>
        <v/>
      </c>
      <c r="BN297" s="7"/>
      <c r="BQ297" s="7"/>
    </row>
    <row r="298" spans="1:69" ht="15" customHeight="1" x14ac:dyDescent="0.3">
      <c r="A298" s="5"/>
      <c r="B298" s="5"/>
      <c r="C298" s="5"/>
      <c r="D298" s="5"/>
      <c r="F298" s="6"/>
      <c r="G298" s="4"/>
      <c r="H298" s="4"/>
      <c r="I298" s="4" t="str">
        <f t="shared" si="55"/>
        <v/>
      </c>
      <c r="BN298" s="7"/>
      <c r="BQ298" s="7"/>
    </row>
    <row r="299" spans="1:69" ht="15" customHeight="1" x14ac:dyDescent="0.3">
      <c r="A299" s="5"/>
      <c r="B299" s="5"/>
      <c r="C299" s="5"/>
      <c r="D299" s="5"/>
      <c r="F299" s="6"/>
      <c r="G299" s="4"/>
      <c r="H299" s="4"/>
      <c r="I299" s="4" t="str">
        <f t="shared" si="55"/>
        <v/>
      </c>
      <c r="BN299" s="7"/>
      <c r="BQ299" s="7"/>
    </row>
    <row r="300" spans="1:69" ht="15" customHeight="1" x14ac:dyDescent="0.3">
      <c r="A300" s="5"/>
      <c r="B300" s="5"/>
      <c r="C300" s="5"/>
      <c r="D300" s="5"/>
      <c r="F300" s="6"/>
      <c r="G300" s="4"/>
      <c r="H300" s="4"/>
      <c r="I300" s="4" t="str">
        <f t="shared" si="55"/>
        <v/>
      </c>
      <c r="BN300" s="7"/>
      <c r="BQ300" s="7"/>
    </row>
    <row r="301" spans="1:69" ht="15" customHeight="1" x14ac:dyDescent="0.3">
      <c r="A301" s="5"/>
      <c r="B301" s="5"/>
      <c r="C301" s="5"/>
      <c r="D301" s="5"/>
      <c r="F301" s="6"/>
      <c r="G301" s="4"/>
      <c r="H301" s="4"/>
      <c r="I301" s="4" t="str">
        <f t="shared" si="55"/>
        <v/>
      </c>
      <c r="BN301" s="7"/>
      <c r="BQ301" s="7"/>
    </row>
    <row r="302" spans="1:69" ht="15" customHeight="1" x14ac:dyDescent="0.3">
      <c r="A302" s="5"/>
      <c r="B302" s="5"/>
      <c r="C302" s="5"/>
      <c r="D302" s="5"/>
      <c r="F302" s="6"/>
      <c r="G302" s="4"/>
      <c r="H302" s="4"/>
      <c r="I302" s="4" t="str">
        <f t="shared" si="55"/>
        <v/>
      </c>
      <c r="BN302" s="7"/>
      <c r="BQ302" s="7"/>
    </row>
    <row r="303" spans="1:69" ht="15" customHeight="1" x14ac:dyDescent="0.3">
      <c r="A303" s="5"/>
      <c r="B303" s="5"/>
      <c r="C303" s="5"/>
      <c r="D303" s="5"/>
      <c r="F303" s="6"/>
      <c r="G303" s="4"/>
      <c r="H303" s="4"/>
      <c r="I303" s="4" t="str">
        <f t="shared" si="55"/>
        <v/>
      </c>
      <c r="BN303" s="7"/>
      <c r="BQ303" s="7"/>
    </row>
    <row r="304" spans="1:69" ht="15" customHeight="1" x14ac:dyDescent="0.3">
      <c r="A304" s="5"/>
      <c r="B304" s="5"/>
      <c r="C304" s="5"/>
      <c r="D304" s="5"/>
      <c r="F304" s="6"/>
      <c r="G304" s="4"/>
      <c r="H304" s="4"/>
      <c r="I304" s="4" t="str">
        <f t="shared" si="55"/>
        <v/>
      </c>
      <c r="BN304" s="7"/>
      <c r="BQ304" s="7"/>
    </row>
    <row r="305" spans="1:69" ht="15" customHeight="1" x14ac:dyDescent="0.3">
      <c r="A305" s="5"/>
      <c r="B305" s="5"/>
      <c r="C305" s="5"/>
      <c r="D305" s="5"/>
      <c r="F305" s="6"/>
      <c r="G305" s="4"/>
      <c r="H305" s="4"/>
      <c r="I305" s="4" t="str">
        <f t="shared" si="55"/>
        <v/>
      </c>
      <c r="BN305" s="7"/>
      <c r="BQ305" s="7"/>
    </row>
    <row r="306" spans="1:69" ht="15" customHeight="1" x14ac:dyDescent="0.3">
      <c r="A306" s="5"/>
      <c r="B306" s="5"/>
      <c r="C306" s="5"/>
      <c r="D306" s="5"/>
      <c r="F306" s="6"/>
      <c r="G306" s="4"/>
      <c r="H306" s="4"/>
      <c r="I306" s="4" t="str">
        <f t="shared" si="55"/>
        <v/>
      </c>
      <c r="BN306" s="7"/>
      <c r="BQ306" s="7"/>
    </row>
    <row r="307" spans="1:69" ht="15" customHeight="1" x14ac:dyDescent="0.3">
      <c r="A307" s="5"/>
      <c r="B307" s="5"/>
      <c r="C307" s="5"/>
      <c r="D307" s="5"/>
      <c r="F307" s="6"/>
      <c r="G307" s="4"/>
      <c r="H307" s="4"/>
      <c r="I307" s="4" t="str">
        <f t="shared" si="55"/>
        <v/>
      </c>
      <c r="BN307" s="7"/>
      <c r="BQ307" s="7"/>
    </row>
    <row r="308" spans="1:69" ht="15" customHeight="1" x14ac:dyDescent="0.3">
      <c r="A308" s="5"/>
      <c r="B308" s="5"/>
      <c r="C308" s="5"/>
      <c r="D308" s="5"/>
      <c r="F308" s="6"/>
      <c r="G308" s="4"/>
      <c r="H308" s="4"/>
      <c r="I308" s="4" t="str">
        <f t="shared" si="55"/>
        <v/>
      </c>
      <c r="BN308" s="7"/>
      <c r="BQ308" s="7"/>
    </row>
    <row r="309" spans="1:69" ht="15" customHeight="1" x14ac:dyDescent="0.3">
      <c r="A309" s="5"/>
      <c r="B309" s="5"/>
      <c r="C309" s="5"/>
      <c r="D309" s="5"/>
      <c r="F309" s="6"/>
      <c r="G309" s="4"/>
      <c r="H309" s="4"/>
      <c r="I309" s="4" t="str">
        <f t="shared" si="55"/>
        <v/>
      </c>
      <c r="BN309" s="7"/>
      <c r="BQ309" s="7"/>
    </row>
    <row r="310" spans="1:69" ht="15" customHeight="1" x14ac:dyDescent="0.3">
      <c r="A310" s="5"/>
      <c r="B310" s="5"/>
      <c r="C310" s="5"/>
      <c r="D310" s="5"/>
      <c r="F310" s="6"/>
      <c r="G310" s="4"/>
      <c r="H310" s="4"/>
      <c r="I310" s="4" t="str">
        <f t="shared" si="55"/>
        <v/>
      </c>
      <c r="BN310" s="7"/>
      <c r="BQ310" s="7"/>
    </row>
    <row r="311" spans="1:69" ht="15" customHeight="1" x14ac:dyDescent="0.3">
      <c r="A311" s="5"/>
      <c r="B311" s="5"/>
      <c r="C311" s="5"/>
      <c r="D311" s="5"/>
      <c r="F311" s="6"/>
      <c r="G311" s="4"/>
      <c r="H311" s="4"/>
      <c r="I311" s="4" t="str">
        <f t="shared" si="55"/>
        <v/>
      </c>
      <c r="BN311" s="7"/>
      <c r="BQ311" s="7"/>
    </row>
    <row r="312" spans="1:69" ht="15" customHeight="1" x14ac:dyDescent="0.3">
      <c r="A312" s="5"/>
      <c r="B312" s="5"/>
      <c r="C312" s="5"/>
      <c r="D312" s="5"/>
      <c r="F312" s="6"/>
      <c r="G312" s="4"/>
      <c r="H312" s="4"/>
      <c r="I312" s="4" t="str">
        <f t="shared" si="55"/>
        <v/>
      </c>
      <c r="BN312" s="7"/>
      <c r="BQ312" s="7"/>
    </row>
    <row r="313" spans="1:69" ht="15" customHeight="1" x14ac:dyDescent="0.3">
      <c r="A313" s="5"/>
      <c r="B313" s="5"/>
      <c r="C313" s="5"/>
      <c r="D313" s="5"/>
      <c r="F313" s="6"/>
      <c r="G313" s="4"/>
      <c r="H313" s="4"/>
      <c r="I313" s="4" t="str">
        <f t="shared" si="55"/>
        <v/>
      </c>
      <c r="BN313" s="7"/>
      <c r="BQ313" s="7"/>
    </row>
    <row r="314" spans="1:69" ht="15" customHeight="1" x14ac:dyDescent="0.3">
      <c r="A314" s="5"/>
      <c r="B314" s="5"/>
      <c r="C314" s="5"/>
      <c r="D314" s="5"/>
      <c r="F314" s="6"/>
      <c r="G314" s="4"/>
      <c r="H314" s="4"/>
      <c r="I314" s="4" t="str">
        <f t="shared" si="55"/>
        <v/>
      </c>
      <c r="BN314" s="7"/>
      <c r="BQ314" s="7"/>
    </row>
    <row r="315" spans="1:69" ht="15" customHeight="1" x14ac:dyDescent="0.3">
      <c r="A315" s="5"/>
      <c r="B315" s="5"/>
      <c r="C315" s="5"/>
      <c r="D315" s="5"/>
      <c r="F315" s="6"/>
      <c r="G315" s="4"/>
      <c r="H315" s="4"/>
      <c r="I315" s="4" t="str">
        <f t="shared" si="55"/>
        <v/>
      </c>
      <c r="BN315" s="7"/>
      <c r="BQ315" s="7"/>
    </row>
    <row r="316" spans="1:69" ht="15" customHeight="1" x14ac:dyDescent="0.3">
      <c r="A316" s="5"/>
      <c r="B316" s="5"/>
      <c r="C316" s="5"/>
      <c r="D316" s="5"/>
      <c r="F316" s="6"/>
      <c r="G316" s="4"/>
      <c r="H316" s="4"/>
      <c r="I316" s="4" t="str">
        <f t="shared" si="55"/>
        <v/>
      </c>
      <c r="BN316" s="7"/>
      <c r="BQ316" s="7"/>
    </row>
    <row r="317" spans="1:69" ht="15" customHeight="1" x14ac:dyDescent="0.3">
      <c r="A317" s="5"/>
      <c r="B317" s="5"/>
      <c r="C317" s="5"/>
      <c r="D317" s="5"/>
      <c r="F317" s="6"/>
      <c r="G317" s="4"/>
      <c r="H317" s="4"/>
      <c r="I317" s="4" t="str">
        <f t="shared" si="55"/>
        <v/>
      </c>
      <c r="BN317" s="7"/>
      <c r="BQ317" s="7"/>
    </row>
    <row r="318" spans="1:69" ht="15" customHeight="1" x14ac:dyDescent="0.3">
      <c r="A318" s="5"/>
      <c r="B318" s="5"/>
      <c r="C318" s="5"/>
      <c r="D318" s="5"/>
      <c r="F318" s="6"/>
      <c r="G318" s="4"/>
      <c r="H318" s="4"/>
      <c r="I318" s="4" t="str">
        <f t="shared" si="55"/>
        <v/>
      </c>
      <c r="BN318" s="7"/>
      <c r="BQ318" s="7"/>
    </row>
    <row r="319" spans="1:69" ht="15" customHeight="1" x14ac:dyDescent="0.3">
      <c r="A319" s="5"/>
      <c r="B319" s="5"/>
      <c r="C319" s="5"/>
      <c r="D319" s="5"/>
      <c r="F319" s="6"/>
      <c r="G319" s="4"/>
      <c r="H319" s="4"/>
      <c r="I319" s="4" t="str">
        <f t="shared" si="55"/>
        <v/>
      </c>
      <c r="BN319" s="7"/>
      <c r="BQ319" s="7"/>
    </row>
    <row r="320" spans="1:69" ht="15" customHeight="1" x14ac:dyDescent="0.3">
      <c r="A320" s="5"/>
      <c r="B320" s="5"/>
      <c r="C320" s="5"/>
      <c r="D320" s="5"/>
      <c r="F320" s="6"/>
      <c r="G320" s="4"/>
      <c r="H320" s="4"/>
      <c r="I320" s="4" t="str">
        <f t="shared" si="55"/>
        <v/>
      </c>
      <c r="BN320" s="7"/>
      <c r="BQ320" s="7"/>
    </row>
    <row r="321" spans="1:69" ht="15" customHeight="1" x14ac:dyDescent="0.3">
      <c r="A321" s="5"/>
      <c r="B321" s="5"/>
      <c r="C321" s="5"/>
      <c r="D321" s="5"/>
      <c r="F321" s="6"/>
      <c r="G321" s="4"/>
      <c r="H321" s="4"/>
      <c r="I321" s="4" t="str">
        <f t="shared" si="55"/>
        <v/>
      </c>
      <c r="BN321" s="7"/>
      <c r="BQ321" s="7"/>
    </row>
    <row r="322" spans="1:69" ht="15" customHeight="1" x14ac:dyDescent="0.3">
      <c r="A322" s="5"/>
      <c r="B322" s="5"/>
      <c r="C322" s="5"/>
      <c r="D322" s="5"/>
      <c r="F322" s="6"/>
      <c r="G322" s="4"/>
      <c r="H322" s="4"/>
      <c r="I322" s="4" t="str">
        <f t="shared" si="55"/>
        <v/>
      </c>
      <c r="BN322" s="7"/>
      <c r="BQ322" s="7"/>
    </row>
    <row r="323" spans="1:69" ht="15" customHeight="1" x14ac:dyDescent="0.3">
      <c r="A323" s="5"/>
      <c r="B323" s="5"/>
      <c r="C323" s="5"/>
      <c r="D323" s="5"/>
      <c r="F323" s="6"/>
      <c r="G323" s="4"/>
      <c r="H323" s="4"/>
      <c r="I323" s="4" t="str">
        <f t="shared" ref="I323:I386" si="56">IFERROR(MID(A323,FIND("Sorry, the entered Application Number",A323),68),"")</f>
        <v/>
      </c>
      <c r="BN323" s="7"/>
      <c r="BQ323" s="7"/>
    </row>
    <row r="324" spans="1:69" ht="15" customHeight="1" x14ac:dyDescent="0.3">
      <c r="A324" s="5"/>
      <c r="B324" s="5"/>
      <c r="C324" s="5"/>
      <c r="D324" s="5"/>
      <c r="F324" s="6"/>
      <c r="G324" s="4"/>
      <c r="H324" s="4"/>
      <c r="I324" s="4" t="str">
        <f t="shared" si="56"/>
        <v/>
      </c>
      <c r="BN324" s="7"/>
      <c r="BQ324" s="7"/>
    </row>
    <row r="325" spans="1:69" ht="15" customHeight="1" x14ac:dyDescent="0.3">
      <c r="A325" s="5"/>
      <c r="B325" s="5"/>
      <c r="C325" s="5"/>
      <c r="D325" s="5"/>
      <c r="F325" s="6"/>
      <c r="G325" s="4"/>
      <c r="H325" s="4"/>
      <c r="I325" s="4" t="str">
        <f t="shared" si="56"/>
        <v/>
      </c>
      <c r="BN325" s="7"/>
      <c r="BQ325" s="7"/>
    </row>
    <row r="326" spans="1:69" ht="15" customHeight="1" x14ac:dyDescent="0.3">
      <c r="A326" s="5"/>
      <c r="B326" s="5"/>
      <c r="C326" s="5"/>
      <c r="D326" s="5"/>
      <c r="F326" s="6"/>
      <c r="G326" s="4"/>
      <c r="H326" s="4"/>
      <c r="I326" s="4" t="str">
        <f t="shared" si="56"/>
        <v/>
      </c>
      <c r="BN326" s="7"/>
      <c r="BQ326" s="7"/>
    </row>
    <row r="327" spans="1:69" ht="15" customHeight="1" x14ac:dyDescent="0.3">
      <c r="A327" s="5"/>
      <c r="B327" s="5"/>
      <c r="C327" s="5"/>
      <c r="D327" s="5"/>
      <c r="F327" s="6"/>
      <c r="G327" s="4"/>
      <c r="H327" s="4"/>
      <c r="I327" s="4" t="str">
        <f t="shared" si="56"/>
        <v/>
      </c>
      <c r="BN327" s="7"/>
      <c r="BQ327" s="7"/>
    </row>
    <row r="328" spans="1:69" ht="15" customHeight="1" x14ac:dyDescent="0.3">
      <c r="A328" s="5"/>
      <c r="B328" s="5"/>
      <c r="C328" s="5"/>
      <c r="D328" s="5"/>
      <c r="F328" s="6"/>
      <c r="G328" s="4"/>
      <c r="H328" s="4"/>
      <c r="I328" s="4" t="str">
        <f t="shared" si="56"/>
        <v/>
      </c>
      <c r="BN328" s="7"/>
      <c r="BQ328" s="7"/>
    </row>
    <row r="329" spans="1:69" ht="15" customHeight="1" x14ac:dyDescent="0.3">
      <c r="A329" s="5"/>
      <c r="B329" s="5"/>
      <c r="C329" s="5"/>
      <c r="D329" s="5"/>
      <c r="F329" s="6"/>
      <c r="G329" s="4"/>
      <c r="H329" s="4"/>
      <c r="I329" s="4" t="str">
        <f t="shared" si="56"/>
        <v/>
      </c>
      <c r="BN329" s="7"/>
      <c r="BQ329" s="7"/>
    </row>
    <row r="330" spans="1:69" ht="15" customHeight="1" x14ac:dyDescent="0.3">
      <c r="A330" s="5"/>
      <c r="B330" s="5"/>
      <c r="C330" s="5"/>
      <c r="D330" s="5"/>
      <c r="F330" s="6"/>
      <c r="G330" s="4"/>
      <c r="H330" s="4"/>
      <c r="I330" s="4" t="str">
        <f t="shared" si="56"/>
        <v/>
      </c>
      <c r="BN330" s="7"/>
      <c r="BQ330" s="7"/>
    </row>
    <row r="331" spans="1:69" ht="15" customHeight="1" x14ac:dyDescent="0.3">
      <c r="A331" s="5"/>
      <c r="B331" s="5"/>
      <c r="C331" s="5"/>
      <c r="D331" s="5"/>
      <c r="F331" s="6"/>
      <c r="G331" s="4"/>
      <c r="H331" s="4"/>
      <c r="I331" s="4" t="str">
        <f t="shared" si="56"/>
        <v/>
      </c>
      <c r="BN331" s="7"/>
      <c r="BQ331" s="7"/>
    </row>
    <row r="332" spans="1:69" ht="15" customHeight="1" x14ac:dyDescent="0.3">
      <c r="A332" s="5"/>
      <c r="B332" s="5"/>
      <c r="C332" s="5"/>
      <c r="D332" s="5"/>
      <c r="F332" s="6"/>
      <c r="G332" s="4"/>
      <c r="H332" s="4"/>
      <c r="I332" s="4" t="str">
        <f t="shared" si="56"/>
        <v/>
      </c>
      <c r="BN332" s="7"/>
      <c r="BQ332" s="7"/>
    </row>
    <row r="333" spans="1:69" ht="15" customHeight="1" x14ac:dyDescent="0.3">
      <c r="A333" s="5"/>
      <c r="B333" s="5"/>
      <c r="C333" s="5"/>
      <c r="D333" s="5"/>
      <c r="F333" s="6"/>
      <c r="G333" s="4"/>
      <c r="H333" s="4"/>
      <c r="I333" s="4" t="str">
        <f t="shared" si="56"/>
        <v/>
      </c>
      <c r="BN333" s="7"/>
      <c r="BQ333" s="7"/>
    </row>
    <row r="334" spans="1:69" ht="15" customHeight="1" x14ac:dyDescent="0.3">
      <c r="A334" s="5"/>
      <c r="B334" s="5"/>
      <c r="C334" s="5"/>
      <c r="D334" s="5"/>
      <c r="F334" s="6"/>
      <c r="G334" s="4"/>
      <c r="H334" s="4"/>
      <c r="I334" s="4" t="str">
        <f t="shared" si="56"/>
        <v/>
      </c>
      <c r="BN334" s="7"/>
      <c r="BQ334" s="7"/>
    </row>
    <row r="335" spans="1:69" ht="15" customHeight="1" x14ac:dyDescent="0.3">
      <c r="A335" s="5"/>
      <c r="B335" s="5"/>
      <c r="C335" s="5"/>
      <c r="D335" s="5"/>
      <c r="F335" s="6"/>
      <c r="G335" s="4"/>
      <c r="H335" s="4"/>
      <c r="I335" s="4" t="str">
        <f t="shared" si="56"/>
        <v/>
      </c>
      <c r="BN335" s="7"/>
      <c r="BQ335" s="7"/>
    </row>
    <row r="336" spans="1:69" ht="15" customHeight="1" x14ac:dyDescent="0.3">
      <c r="A336" s="5"/>
      <c r="B336" s="5"/>
      <c r="C336" s="5"/>
      <c r="D336" s="5"/>
      <c r="F336" s="6"/>
      <c r="G336" s="4"/>
      <c r="H336" s="4"/>
      <c r="I336" s="4" t="str">
        <f t="shared" si="56"/>
        <v/>
      </c>
      <c r="BN336" s="7"/>
      <c r="BQ336" s="7"/>
    </row>
    <row r="337" spans="1:69" ht="15" customHeight="1" x14ac:dyDescent="0.3">
      <c r="A337" s="5"/>
      <c r="B337" s="5"/>
      <c r="C337" s="5"/>
      <c r="D337" s="5"/>
      <c r="F337" s="6"/>
      <c r="G337" s="4"/>
      <c r="H337" s="4"/>
      <c r="I337" s="4" t="str">
        <f t="shared" si="56"/>
        <v/>
      </c>
      <c r="BN337" s="7"/>
      <c r="BQ337" s="7"/>
    </row>
    <row r="338" spans="1:69" ht="15" customHeight="1" x14ac:dyDescent="0.3">
      <c r="A338" s="5"/>
      <c r="B338" s="5"/>
      <c r="C338" s="5"/>
      <c r="D338" s="5"/>
      <c r="F338" s="6"/>
      <c r="G338" s="4"/>
      <c r="H338" s="4"/>
      <c r="I338" s="4" t="str">
        <f t="shared" si="56"/>
        <v/>
      </c>
      <c r="BN338" s="7"/>
      <c r="BQ338" s="7"/>
    </row>
    <row r="339" spans="1:69" ht="15" customHeight="1" x14ac:dyDescent="0.3">
      <c r="A339" s="5"/>
      <c r="B339" s="5"/>
      <c r="C339" s="5"/>
      <c r="D339" s="5"/>
      <c r="F339" s="6"/>
      <c r="G339" s="4"/>
      <c r="H339" s="4"/>
      <c r="I339" s="4" t="str">
        <f t="shared" si="56"/>
        <v/>
      </c>
      <c r="BN339" s="7"/>
      <c r="BQ339" s="7"/>
    </row>
    <row r="340" spans="1:69" ht="15" customHeight="1" x14ac:dyDescent="0.3">
      <c r="A340" s="5"/>
      <c r="B340" s="5"/>
      <c r="C340" s="5"/>
      <c r="D340" s="5"/>
      <c r="F340" s="6"/>
      <c r="G340" s="4"/>
      <c r="H340" s="4"/>
      <c r="I340" s="4" t="str">
        <f t="shared" si="56"/>
        <v/>
      </c>
      <c r="BN340" s="7"/>
      <c r="BQ340" s="7"/>
    </row>
    <row r="341" spans="1:69" ht="15" customHeight="1" x14ac:dyDescent="0.3">
      <c r="A341" s="5"/>
      <c r="B341" s="5"/>
      <c r="C341" s="5"/>
      <c r="D341" s="5"/>
      <c r="F341" s="6"/>
      <c r="G341" s="4"/>
      <c r="H341" s="4"/>
      <c r="I341" s="4" t="str">
        <f t="shared" si="56"/>
        <v/>
      </c>
      <c r="BN341" s="7"/>
      <c r="BQ341" s="7"/>
    </row>
    <row r="342" spans="1:69" ht="15" customHeight="1" x14ac:dyDescent="0.3">
      <c r="A342" s="5"/>
      <c r="B342" s="5"/>
      <c r="C342" s="5"/>
      <c r="D342" s="5"/>
      <c r="F342" s="6"/>
      <c r="G342" s="4"/>
      <c r="H342" s="4"/>
      <c r="I342" s="4" t="str">
        <f t="shared" si="56"/>
        <v/>
      </c>
      <c r="BN342" s="7"/>
      <c r="BQ342" s="7"/>
    </row>
    <row r="343" spans="1:69" ht="15" customHeight="1" x14ac:dyDescent="0.3">
      <c r="A343" s="5"/>
      <c r="B343" s="5"/>
      <c r="C343" s="5"/>
      <c r="D343" s="5"/>
      <c r="F343" s="6"/>
      <c r="G343" s="4"/>
      <c r="H343" s="4"/>
      <c r="I343" s="4" t="str">
        <f t="shared" si="56"/>
        <v/>
      </c>
      <c r="BN343" s="7"/>
      <c r="BQ343" s="7"/>
    </row>
    <row r="344" spans="1:69" ht="15" customHeight="1" x14ac:dyDescent="0.3">
      <c r="A344" s="5"/>
      <c r="B344" s="5"/>
      <c r="C344" s="5"/>
      <c r="D344" s="5"/>
      <c r="F344" s="6"/>
      <c r="G344" s="4"/>
      <c r="H344" s="4"/>
      <c r="I344" s="4" t="str">
        <f t="shared" si="56"/>
        <v/>
      </c>
      <c r="BN344" s="7"/>
      <c r="BQ344" s="7"/>
    </row>
    <row r="345" spans="1:69" ht="15" customHeight="1" x14ac:dyDescent="0.3">
      <c r="A345" s="5"/>
      <c r="B345" s="5"/>
      <c r="C345" s="5"/>
      <c r="D345" s="5"/>
      <c r="F345" s="6"/>
      <c r="G345" s="4"/>
      <c r="H345" s="4"/>
      <c r="I345" s="4" t="str">
        <f t="shared" si="56"/>
        <v/>
      </c>
      <c r="BN345" s="7"/>
      <c r="BQ345" s="7"/>
    </row>
    <row r="346" spans="1:69" ht="15" customHeight="1" x14ac:dyDescent="0.3">
      <c r="A346" s="5"/>
      <c r="B346" s="5"/>
      <c r="C346" s="5"/>
      <c r="D346" s="5"/>
      <c r="F346" s="6"/>
      <c r="G346" s="4"/>
      <c r="H346" s="4"/>
      <c r="I346" s="4" t="str">
        <f t="shared" si="56"/>
        <v/>
      </c>
      <c r="BN346" s="7"/>
      <c r="BQ346" s="7"/>
    </row>
    <row r="347" spans="1:69" ht="15" customHeight="1" x14ac:dyDescent="0.3">
      <c r="A347" s="5"/>
      <c r="B347" s="5"/>
      <c r="C347" s="5"/>
      <c r="D347" s="5"/>
      <c r="F347" s="6"/>
      <c r="G347" s="4"/>
      <c r="H347" s="4"/>
      <c r="I347" s="4" t="str">
        <f t="shared" si="56"/>
        <v/>
      </c>
      <c r="BN347" s="7"/>
      <c r="BQ347" s="7"/>
    </row>
    <row r="348" spans="1:69" ht="15" customHeight="1" x14ac:dyDescent="0.3">
      <c r="A348" s="5"/>
      <c r="B348" s="5"/>
      <c r="C348" s="5"/>
      <c r="D348" s="5"/>
      <c r="F348" s="6"/>
      <c r="G348" s="4"/>
      <c r="H348" s="4"/>
      <c r="I348" s="4" t="str">
        <f t="shared" si="56"/>
        <v/>
      </c>
      <c r="BN348" s="7"/>
      <c r="BQ348" s="7"/>
    </row>
    <row r="349" spans="1:69" ht="15" customHeight="1" x14ac:dyDescent="0.3">
      <c r="A349" s="5"/>
      <c r="B349" s="5"/>
      <c r="C349" s="5"/>
      <c r="D349" s="5"/>
      <c r="F349" s="6"/>
      <c r="G349" s="4"/>
      <c r="H349" s="4"/>
      <c r="I349" s="4" t="str">
        <f t="shared" si="56"/>
        <v/>
      </c>
      <c r="BN349" s="7"/>
      <c r="BQ349" s="7"/>
    </row>
    <row r="350" spans="1:69" ht="15" customHeight="1" x14ac:dyDescent="0.3">
      <c r="A350" s="5"/>
      <c r="B350" s="5"/>
      <c r="C350" s="5"/>
      <c r="D350" s="5"/>
      <c r="F350" s="6"/>
      <c r="G350" s="4"/>
      <c r="H350" s="4"/>
      <c r="I350" s="4" t="str">
        <f t="shared" si="56"/>
        <v/>
      </c>
      <c r="BN350" s="7"/>
      <c r="BQ350" s="7"/>
    </row>
    <row r="351" spans="1:69" ht="15" customHeight="1" x14ac:dyDescent="0.3">
      <c r="A351" s="5"/>
      <c r="B351" s="5"/>
      <c r="C351" s="5"/>
      <c r="D351" s="5"/>
      <c r="F351" s="6"/>
      <c r="G351" s="4"/>
      <c r="H351" s="4"/>
      <c r="I351" s="4" t="str">
        <f t="shared" si="56"/>
        <v/>
      </c>
      <c r="BN351" s="7"/>
      <c r="BQ351" s="7"/>
    </row>
    <row r="352" spans="1:69" ht="15" customHeight="1" x14ac:dyDescent="0.3">
      <c r="A352" s="5"/>
      <c r="B352" s="5"/>
      <c r="C352" s="5"/>
      <c r="D352" s="5"/>
      <c r="F352" s="6"/>
      <c r="G352" s="4"/>
      <c r="H352" s="4"/>
      <c r="I352" s="4" t="str">
        <f t="shared" si="56"/>
        <v/>
      </c>
      <c r="BN352" s="7"/>
      <c r="BQ352" s="7"/>
    </row>
    <row r="353" spans="1:69" ht="15" customHeight="1" x14ac:dyDescent="0.3">
      <c r="A353" s="5"/>
      <c r="B353" s="5"/>
      <c r="C353" s="5"/>
      <c r="D353" s="5"/>
      <c r="F353" s="6"/>
      <c r="G353" s="4"/>
      <c r="H353" s="4"/>
      <c r="I353" s="4" t="str">
        <f t="shared" si="56"/>
        <v/>
      </c>
      <c r="BN353" s="7"/>
      <c r="BQ353" s="7"/>
    </row>
    <row r="354" spans="1:69" ht="15" customHeight="1" x14ac:dyDescent="0.3">
      <c r="A354" s="5"/>
      <c r="B354" s="5"/>
      <c r="C354" s="5"/>
      <c r="D354" s="5"/>
      <c r="F354" s="6"/>
      <c r="G354" s="4"/>
      <c r="H354" s="4"/>
      <c r="I354" s="4" t="str">
        <f t="shared" si="56"/>
        <v/>
      </c>
      <c r="BN354" s="7"/>
      <c r="BQ354" s="7"/>
    </row>
    <row r="355" spans="1:69" ht="15" customHeight="1" x14ac:dyDescent="0.3">
      <c r="A355" s="5"/>
      <c r="B355" s="5"/>
      <c r="C355" s="5"/>
      <c r="D355" s="5"/>
      <c r="F355" s="6"/>
      <c r="G355" s="4"/>
      <c r="H355" s="4"/>
      <c r="I355" s="4" t="str">
        <f t="shared" si="56"/>
        <v/>
      </c>
      <c r="BN355" s="7"/>
      <c r="BQ355" s="7"/>
    </row>
    <row r="356" spans="1:69" ht="15" customHeight="1" x14ac:dyDescent="0.3">
      <c r="A356" s="5"/>
      <c r="B356" s="5"/>
      <c r="C356" s="5"/>
      <c r="D356" s="5"/>
      <c r="F356" s="6"/>
      <c r="G356" s="4"/>
      <c r="H356" s="4"/>
      <c r="I356" s="4" t="str">
        <f t="shared" si="56"/>
        <v/>
      </c>
      <c r="BN356" s="7"/>
      <c r="BQ356" s="7"/>
    </row>
    <row r="357" spans="1:69" ht="15" customHeight="1" x14ac:dyDescent="0.3">
      <c r="A357" s="5"/>
      <c r="B357" s="5"/>
      <c r="C357" s="5"/>
      <c r="D357" s="5"/>
      <c r="F357" s="6"/>
      <c r="G357" s="4"/>
      <c r="H357" s="4"/>
      <c r="I357" s="4" t="str">
        <f t="shared" si="56"/>
        <v/>
      </c>
      <c r="BN357" s="7"/>
      <c r="BQ357" s="7"/>
    </row>
    <row r="358" spans="1:69" ht="15" customHeight="1" x14ac:dyDescent="0.3">
      <c r="A358" s="5"/>
      <c r="B358" s="5"/>
      <c r="C358" s="5"/>
      <c r="D358" s="5"/>
      <c r="F358" s="6"/>
      <c r="G358" s="4"/>
      <c r="H358" s="4"/>
      <c r="I358" s="4" t="str">
        <f t="shared" si="56"/>
        <v/>
      </c>
      <c r="BN358" s="7"/>
      <c r="BQ358" s="7"/>
    </row>
    <row r="359" spans="1:69" ht="15" customHeight="1" x14ac:dyDescent="0.3">
      <c r="A359" s="5"/>
      <c r="B359" s="5"/>
      <c r="C359" s="5"/>
      <c r="D359" s="5"/>
      <c r="F359" s="6"/>
      <c r="G359" s="4"/>
      <c r="H359" s="4"/>
      <c r="I359" s="4" t="str">
        <f t="shared" si="56"/>
        <v/>
      </c>
      <c r="BN359" s="7"/>
      <c r="BQ359" s="7"/>
    </row>
    <row r="360" spans="1:69" ht="15" customHeight="1" x14ac:dyDescent="0.3">
      <c r="A360" s="5"/>
      <c r="B360" s="5"/>
      <c r="C360" s="5"/>
      <c r="D360" s="5"/>
      <c r="F360" s="6"/>
      <c r="G360" s="4"/>
      <c r="H360" s="4"/>
      <c r="I360" s="4" t="str">
        <f t="shared" si="56"/>
        <v/>
      </c>
      <c r="BN360" s="7"/>
      <c r="BQ360" s="7"/>
    </row>
    <row r="361" spans="1:69" ht="15" customHeight="1" x14ac:dyDescent="0.3">
      <c r="A361" s="5"/>
      <c r="B361" s="5"/>
      <c r="C361" s="5"/>
      <c r="D361" s="5"/>
      <c r="F361" s="6"/>
      <c r="G361" s="4"/>
      <c r="H361" s="4"/>
      <c r="I361" s="4" t="str">
        <f t="shared" si="56"/>
        <v/>
      </c>
      <c r="BN361" s="7"/>
      <c r="BQ361" s="7"/>
    </row>
    <row r="362" spans="1:69" ht="15" customHeight="1" x14ac:dyDescent="0.3">
      <c r="A362" s="5"/>
      <c r="B362" s="5"/>
      <c r="C362" s="5"/>
      <c r="D362" s="5"/>
      <c r="F362" s="6"/>
      <c r="G362" s="4"/>
      <c r="H362" s="4"/>
      <c r="I362" s="4" t="str">
        <f t="shared" si="56"/>
        <v/>
      </c>
      <c r="BN362" s="7"/>
      <c r="BQ362" s="7"/>
    </row>
    <row r="363" spans="1:69" ht="15" customHeight="1" x14ac:dyDescent="0.3">
      <c r="A363" s="5"/>
      <c r="B363" s="5"/>
      <c r="C363" s="5"/>
      <c r="D363" s="5"/>
      <c r="F363" s="6"/>
      <c r="G363" s="4"/>
      <c r="H363" s="4"/>
      <c r="I363" s="4" t="str">
        <f t="shared" si="56"/>
        <v/>
      </c>
      <c r="BN363" s="7"/>
      <c r="BQ363" s="7"/>
    </row>
    <row r="364" spans="1:69" ht="15" customHeight="1" x14ac:dyDescent="0.3">
      <c r="A364" s="5"/>
      <c r="B364" s="5"/>
      <c r="C364" s="5"/>
      <c r="D364" s="5"/>
      <c r="F364" s="6"/>
      <c r="G364" s="4"/>
      <c r="H364" s="4"/>
      <c r="I364" s="4" t="str">
        <f t="shared" si="56"/>
        <v/>
      </c>
      <c r="BN364" s="7"/>
      <c r="BQ364" s="7"/>
    </row>
    <row r="365" spans="1:69" ht="15" customHeight="1" x14ac:dyDescent="0.3">
      <c r="A365" s="5"/>
      <c r="B365" s="5"/>
      <c r="C365" s="5"/>
      <c r="D365" s="5"/>
      <c r="F365" s="6"/>
      <c r="G365" s="4"/>
      <c r="H365" s="4"/>
      <c r="I365" s="4" t="str">
        <f t="shared" si="56"/>
        <v/>
      </c>
      <c r="BN365" s="7"/>
      <c r="BQ365" s="7"/>
    </row>
    <row r="366" spans="1:69" ht="15" customHeight="1" x14ac:dyDescent="0.3">
      <c r="A366" s="5"/>
      <c r="B366" s="5"/>
      <c r="C366" s="5"/>
      <c r="D366" s="5"/>
      <c r="F366" s="6"/>
      <c r="G366" s="4"/>
      <c r="H366" s="4"/>
      <c r="I366" s="4" t="str">
        <f t="shared" si="56"/>
        <v/>
      </c>
      <c r="BN366" s="7"/>
      <c r="BQ366" s="7"/>
    </row>
    <row r="367" spans="1:69" ht="15" customHeight="1" x14ac:dyDescent="0.3">
      <c r="A367" s="5"/>
      <c r="B367" s="5"/>
      <c r="C367" s="5"/>
      <c r="D367" s="5"/>
      <c r="F367" s="6"/>
      <c r="G367" s="4"/>
      <c r="H367" s="4"/>
      <c r="I367" s="4" t="str">
        <f t="shared" si="56"/>
        <v/>
      </c>
      <c r="BN367" s="7"/>
      <c r="BQ367" s="7"/>
    </row>
    <row r="368" spans="1:69" ht="15" customHeight="1" x14ac:dyDescent="0.3">
      <c r="A368" s="5"/>
      <c r="B368" s="5"/>
      <c r="C368" s="5"/>
      <c r="D368" s="5"/>
      <c r="F368" s="6"/>
      <c r="G368" s="4"/>
      <c r="H368" s="4"/>
      <c r="I368" s="4" t="str">
        <f t="shared" si="56"/>
        <v/>
      </c>
      <c r="BN368" s="7"/>
      <c r="BQ368" s="7"/>
    </row>
    <row r="369" spans="1:69" ht="15" customHeight="1" x14ac:dyDescent="0.3">
      <c r="A369" s="5"/>
      <c r="B369" s="5"/>
      <c r="C369" s="5"/>
      <c r="D369" s="5"/>
      <c r="F369" s="6"/>
      <c r="G369" s="4"/>
      <c r="H369" s="4"/>
      <c r="I369" s="4" t="str">
        <f t="shared" si="56"/>
        <v/>
      </c>
      <c r="BN369" s="7"/>
      <c r="BQ369" s="7"/>
    </row>
    <row r="370" spans="1:69" ht="15" customHeight="1" x14ac:dyDescent="0.3">
      <c r="A370" s="5"/>
      <c r="B370" s="5"/>
      <c r="C370" s="5"/>
      <c r="D370" s="5"/>
      <c r="F370" s="6"/>
      <c r="G370" s="4"/>
      <c r="H370" s="4"/>
      <c r="I370" s="4" t="str">
        <f t="shared" si="56"/>
        <v/>
      </c>
      <c r="BN370" s="7"/>
      <c r="BQ370" s="7"/>
    </row>
    <row r="371" spans="1:69" ht="15" customHeight="1" x14ac:dyDescent="0.3">
      <c r="A371" s="5"/>
      <c r="B371" s="5"/>
      <c r="C371" s="5"/>
      <c r="D371" s="5"/>
      <c r="F371" s="6"/>
      <c r="G371" s="4"/>
      <c r="H371" s="4"/>
      <c r="I371" s="4" t="str">
        <f t="shared" si="56"/>
        <v/>
      </c>
      <c r="BN371" s="7"/>
      <c r="BQ371" s="7"/>
    </row>
    <row r="372" spans="1:69" ht="15" customHeight="1" x14ac:dyDescent="0.3">
      <c r="A372" s="5"/>
      <c r="B372" s="5"/>
      <c r="C372" s="5"/>
      <c r="D372" s="5"/>
      <c r="F372" s="6"/>
      <c r="G372" s="4"/>
      <c r="H372" s="4"/>
      <c r="I372" s="4" t="str">
        <f t="shared" si="56"/>
        <v/>
      </c>
      <c r="BN372" s="7"/>
      <c r="BQ372" s="7"/>
    </row>
    <row r="373" spans="1:69" ht="15" customHeight="1" x14ac:dyDescent="0.3">
      <c r="A373" s="5"/>
      <c r="B373" s="5"/>
      <c r="C373" s="5"/>
      <c r="D373" s="5"/>
      <c r="F373" s="6"/>
      <c r="G373" s="4"/>
      <c r="H373" s="4"/>
      <c r="I373" s="4" t="str">
        <f t="shared" si="56"/>
        <v/>
      </c>
      <c r="BN373" s="7"/>
      <c r="BQ373" s="7"/>
    </row>
    <row r="374" spans="1:69" ht="15" customHeight="1" x14ac:dyDescent="0.3">
      <c r="A374" s="5"/>
      <c r="B374" s="5"/>
      <c r="C374" s="5"/>
      <c r="D374" s="5"/>
      <c r="F374" s="6"/>
      <c r="G374" s="4"/>
      <c r="H374" s="4"/>
      <c r="I374" s="4" t="str">
        <f t="shared" si="56"/>
        <v/>
      </c>
      <c r="BN374" s="7"/>
      <c r="BQ374" s="7"/>
    </row>
    <row r="375" spans="1:69" ht="15" customHeight="1" x14ac:dyDescent="0.3">
      <c r="A375" s="5"/>
      <c r="B375" s="5"/>
      <c r="C375" s="5"/>
      <c r="D375" s="5"/>
      <c r="F375" s="6"/>
      <c r="G375" s="4"/>
      <c r="H375" s="4"/>
      <c r="I375" s="4" t="str">
        <f t="shared" si="56"/>
        <v/>
      </c>
      <c r="BN375" s="7"/>
      <c r="BQ375" s="7"/>
    </row>
    <row r="376" spans="1:69" ht="15" customHeight="1" x14ac:dyDescent="0.3">
      <c r="A376" s="5"/>
      <c r="B376" s="5"/>
      <c r="C376" s="5"/>
      <c r="D376" s="5"/>
      <c r="F376" s="6"/>
      <c r="G376" s="4"/>
      <c r="H376" s="4"/>
      <c r="I376" s="4" t="str">
        <f t="shared" si="56"/>
        <v/>
      </c>
      <c r="BN376" s="7"/>
      <c r="BQ376" s="7"/>
    </row>
    <row r="377" spans="1:69" ht="15" customHeight="1" x14ac:dyDescent="0.3">
      <c r="A377" s="5"/>
      <c r="B377" s="5"/>
      <c r="C377" s="5"/>
      <c r="D377" s="5"/>
      <c r="F377" s="6"/>
      <c r="G377" s="4"/>
      <c r="H377" s="4"/>
      <c r="I377" s="4" t="str">
        <f t="shared" si="56"/>
        <v/>
      </c>
      <c r="BN377" s="7"/>
      <c r="BQ377" s="7"/>
    </row>
    <row r="378" spans="1:69" ht="15" customHeight="1" x14ac:dyDescent="0.3">
      <c r="A378" s="5"/>
      <c r="B378" s="5"/>
      <c r="C378" s="5"/>
      <c r="D378" s="5"/>
      <c r="F378" s="6"/>
      <c r="G378" s="4"/>
      <c r="H378" s="4"/>
      <c r="I378" s="4" t="str">
        <f t="shared" si="56"/>
        <v/>
      </c>
      <c r="BN378" s="7"/>
      <c r="BQ378" s="7"/>
    </row>
    <row r="379" spans="1:69" ht="15" customHeight="1" x14ac:dyDescent="0.3">
      <c r="A379" s="5"/>
      <c r="B379" s="5"/>
      <c r="C379" s="5"/>
      <c r="D379" s="5"/>
      <c r="F379" s="6"/>
      <c r="G379" s="4"/>
      <c r="H379" s="4"/>
      <c r="I379" s="4" t="str">
        <f t="shared" si="56"/>
        <v/>
      </c>
      <c r="BN379" s="7"/>
      <c r="BQ379" s="7"/>
    </row>
    <row r="380" spans="1:69" ht="15" customHeight="1" x14ac:dyDescent="0.3">
      <c r="A380" s="5"/>
      <c r="B380" s="5"/>
      <c r="C380" s="5"/>
      <c r="D380" s="5"/>
      <c r="F380" s="6"/>
      <c r="G380" s="4"/>
      <c r="H380" s="4"/>
      <c r="I380" s="4" t="str">
        <f t="shared" si="56"/>
        <v/>
      </c>
      <c r="BN380" s="7"/>
      <c r="BQ380" s="7"/>
    </row>
    <row r="381" spans="1:69" ht="15" customHeight="1" x14ac:dyDescent="0.3">
      <c r="A381" s="5"/>
      <c r="B381" s="5"/>
      <c r="C381" s="5"/>
      <c r="D381" s="5"/>
      <c r="F381" s="6"/>
      <c r="G381" s="4"/>
      <c r="H381" s="4"/>
      <c r="I381" s="4" t="str">
        <f t="shared" si="56"/>
        <v/>
      </c>
      <c r="BN381" s="7"/>
      <c r="BQ381" s="7"/>
    </row>
    <row r="382" spans="1:69" ht="15" customHeight="1" x14ac:dyDescent="0.3">
      <c r="A382" s="5"/>
      <c r="B382" s="5"/>
      <c r="C382" s="5"/>
      <c r="D382" s="5"/>
      <c r="F382" s="6"/>
      <c r="G382" s="4"/>
      <c r="H382" s="4"/>
      <c r="I382" s="4" t="str">
        <f t="shared" si="56"/>
        <v/>
      </c>
      <c r="BN382" s="7"/>
      <c r="BQ382" s="7"/>
    </row>
    <row r="383" spans="1:69" ht="15" customHeight="1" x14ac:dyDescent="0.3">
      <c r="A383" s="5"/>
      <c r="B383" s="5"/>
      <c r="C383" s="5"/>
      <c r="D383" s="5"/>
      <c r="F383" s="6"/>
      <c r="G383" s="4"/>
      <c r="H383" s="4"/>
      <c r="I383" s="4" t="str">
        <f t="shared" si="56"/>
        <v/>
      </c>
      <c r="BN383" s="7"/>
      <c r="BQ383" s="7"/>
    </row>
    <row r="384" spans="1:69" ht="15" customHeight="1" x14ac:dyDescent="0.3">
      <c r="A384" s="5"/>
      <c r="B384" s="5"/>
      <c r="C384" s="5"/>
      <c r="D384" s="5"/>
      <c r="F384" s="6"/>
      <c r="G384" s="4"/>
      <c r="H384" s="4"/>
      <c r="I384" s="4" t="str">
        <f t="shared" si="56"/>
        <v/>
      </c>
      <c r="BN384" s="7"/>
      <c r="BQ384" s="7"/>
    </row>
    <row r="385" spans="1:69" ht="15" customHeight="1" x14ac:dyDescent="0.3">
      <c r="A385" s="5"/>
      <c r="B385" s="5"/>
      <c r="C385" s="5"/>
      <c r="D385" s="5"/>
      <c r="F385" s="6"/>
      <c r="G385" s="4"/>
      <c r="H385" s="4"/>
      <c r="I385" s="4" t="str">
        <f t="shared" si="56"/>
        <v/>
      </c>
      <c r="BN385" s="7"/>
      <c r="BQ385" s="7"/>
    </row>
    <row r="386" spans="1:69" ht="15" customHeight="1" x14ac:dyDescent="0.3">
      <c r="A386" s="5"/>
      <c r="B386" s="5"/>
      <c r="C386" s="5"/>
      <c r="D386" s="5"/>
      <c r="F386" s="6"/>
      <c r="G386" s="4"/>
      <c r="H386" s="4"/>
      <c r="I386" s="4" t="str">
        <f t="shared" si="56"/>
        <v/>
      </c>
      <c r="BN386" s="7"/>
      <c r="BQ386" s="7"/>
    </row>
    <row r="387" spans="1:69" ht="15" customHeight="1" x14ac:dyDescent="0.3">
      <c r="A387" s="5"/>
      <c r="B387" s="5"/>
      <c r="C387" s="5"/>
      <c r="D387" s="5"/>
      <c r="F387" s="6"/>
      <c r="G387" s="4"/>
      <c r="H387" s="4"/>
      <c r="I387" s="4" t="str">
        <f t="shared" ref="I387:I450" si="57">IFERROR(MID(A387,FIND("Sorry, the entered Application Number",A387),68),"")</f>
        <v/>
      </c>
      <c r="BN387" s="7"/>
      <c r="BQ387" s="7"/>
    </row>
    <row r="388" spans="1:69" ht="15" customHeight="1" x14ac:dyDescent="0.3">
      <c r="A388" s="5"/>
      <c r="B388" s="5"/>
      <c r="C388" s="5"/>
      <c r="D388" s="5"/>
      <c r="F388" s="6"/>
      <c r="G388" s="4"/>
      <c r="H388" s="4"/>
      <c r="I388" s="4" t="str">
        <f t="shared" si="57"/>
        <v/>
      </c>
      <c r="BN388" s="7"/>
      <c r="BQ388" s="7"/>
    </row>
    <row r="389" spans="1:69" ht="15" customHeight="1" x14ac:dyDescent="0.3">
      <c r="A389" s="5"/>
      <c r="B389" s="5"/>
      <c r="C389" s="5"/>
      <c r="D389" s="5"/>
      <c r="F389" s="6"/>
      <c r="G389" s="4"/>
      <c r="H389" s="4"/>
      <c r="I389" s="4" t="str">
        <f t="shared" si="57"/>
        <v/>
      </c>
      <c r="BN389" s="7"/>
      <c r="BQ389" s="7"/>
    </row>
    <row r="390" spans="1:69" ht="15" customHeight="1" x14ac:dyDescent="0.3">
      <c r="A390" s="5"/>
      <c r="B390" s="5"/>
      <c r="C390" s="5"/>
      <c r="D390" s="5"/>
      <c r="F390" s="6"/>
      <c r="G390" s="4"/>
      <c r="H390" s="4"/>
      <c r="I390" s="4" t="str">
        <f t="shared" si="57"/>
        <v/>
      </c>
      <c r="BN390" s="7"/>
      <c r="BQ390" s="7"/>
    </row>
    <row r="391" spans="1:69" ht="15" customHeight="1" x14ac:dyDescent="0.3">
      <c r="A391" s="5"/>
      <c r="B391" s="5"/>
      <c r="C391" s="5"/>
      <c r="D391" s="5"/>
      <c r="F391" s="6"/>
      <c r="G391" s="4"/>
      <c r="H391" s="4"/>
      <c r="I391" s="4" t="str">
        <f t="shared" si="57"/>
        <v/>
      </c>
      <c r="BN391" s="7"/>
      <c r="BQ391" s="7"/>
    </row>
    <row r="392" spans="1:69" ht="15" customHeight="1" x14ac:dyDescent="0.3">
      <c r="A392" s="5"/>
      <c r="B392" s="5"/>
      <c r="C392" s="5"/>
      <c r="D392" s="5"/>
      <c r="F392" s="6"/>
      <c r="G392" s="4"/>
      <c r="H392" s="4"/>
      <c r="I392" s="4" t="str">
        <f t="shared" si="57"/>
        <v/>
      </c>
      <c r="BN392" s="7"/>
      <c r="BQ392" s="7"/>
    </row>
    <row r="393" spans="1:69" ht="15" customHeight="1" x14ac:dyDescent="0.3">
      <c r="A393" s="5"/>
      <c r="B393" s="5"/>
      <c r="C393" s="5"/>
      <c r="D393" s="5"/>
      <c r="F393" s="6"/>
      <c r="G393" s="4"/>
      <c r="H393" s="4"/>
      <c r="I393" s="4" t="str">
        <f t="shared" si="57"/>
        <v/>
      </c>
      <c r="BN393" s="7"/>
      <c r="BQ393" s="7"/>
    </row>
    <row r="394" spans="1:69" ht="15" customHeight="1" x14ac:dyDescent="0.3">
      <c r="A394" s="5"/>
      <c r="B394" s="5"/>
      <c r="C394" s="5"/>
      <c r="D394" s="5"/>
      <c r="F394" s="6"/>
      <c r="G394" s="4"/>
      <c r="H394" s="4"/>
      <c r="I394" s="4" t="str">
        <f t="shared" si="57"/>
        <v/>
      </c>
      <c r="BN394" s="7"/>
      <c r="BQ394" s="7"/>
    </row>
    <row r="395" spans="1:69" ht="15" customHeight="1" x14ac:dyDescent="0.3">
      <c r="A395" s="5"/>
      <c r="B395" s="5"/>
      <c r="C395" s="5"/>
      <c r="D395" s="5"/>
      <c r="F395" s="6"/>
      <c r="G395" s="4"/>
      <c r="H395" s="4"/>
      <c r="I395" s="4" t="str">
        <f t="shared" si="57"/>
        <v/>
      </c>
      <c r="BN395" s="7"/>
      <c r="BQ395" s="7"/>
    </row>
    <row r="396" spans="1:69" ht="15" customHeight="1" x14ac:dyDescent="0.3">
      <c r="A396" s="5"/>
      <c r="B396" s="5"/>
      <c r="C396" s="5"/>
      <c r="D396" s="5"/>
      <c r="F396" s="6"/>
      <c r="G396" s="4"/>
      <c r="H396" s="4"/>
      <c r="I396" s="4" t="str">
        <f t="shared" si="57"/>
        <v/>
      </c>
      <c r="BN396" s="7"/>
      <c r="BQ396" s="7"/>
    </row>
    <row r="397" spans="1:69" ht="15" customHeight="1" x14ac:dyDescent="0.3">
      <c r="A397" s="5"/>
      <c r="B397" s="5"/>
      <c r="C397" s="5"/>
      <c r="D397" s="5"/>
      <c r="F397" s="6"/>
      <c r="G397" s="4"/>
      <c r="H397" s="4"/>
      <c r="I397" s="4" t="str">
        <f t="shared" si="57"/>
        <v/>
      </c>
      <c r="BN397" s="7"/>
      <c r="BQ397" s="7"/>
    </row>
    <row r="398" spans="1:69" ht="15" customHeight="1" x14ac:dyDescent="0.3">
      <c r="A398" s="5"/>
      <c r="B398" s="5"/>
      <c r="C398" s="5"/>
      <c r="D398" s="5"/>
      <c r="F398" s="6"/>
      <c r="G398" s="4"/>
      <c r="H398" s="4"/>
      <c r="I398" s="4" t="str">
        <f t="shared" si="57"/>
        <v/>
      </c>
      <c r="BN398" s="7"/>
      <c r="BQ398" s="7"/>
    </row>
    <row r="399" spans="1:69" ht="15" customHeight="1" x14ac:dyDescent="0.3">
      <c r="A399" s="5"/>
      <c r="B399" s="5"/>
      <c r="C399" s="5"/>
      <c r="D399" s="5"/>
      <c r="F399" s="6"/>
      <c r="G399" s="4"/>
      <c r="H399" s="4"/>
      <c r="I399" s="4" t="str">
        <f t="shared" si="57"/>
        <v/>
      </c>
      <c r="BN399" s="7"/>
      <c r="BQ399" s="7"/>
    </row>
    <row r="400" spans="1:69" ht="15" customHeight="1" x14ac:dyDescent="0.3">
      <c r="A400" s="5"/>
      <c r="B400" s="5"/>
      <c r="C400" s="5"/>
      <c r="D400" s="5"/>
      <c r="F400" s="6"/>
      <c r="G400" s="4"/>
      <c r="H400" s="4"/>
      <c r="I400" s="4" t="str">
        <f t="shared" si="57"/>
        <v/>
      </c>
      <c r="BN400" s="7"/>
      <c r="BQ400" s="7"/>
    </row>
    <row r="401" spans="1:69" ht="15" customHeight="1" x14ac:dyDescent="0.3">
      <c r="A401" s="5"/>
      <c r="B401" s="5"/>
      <c r="C401" s="5"/>
      <c r="D401" s="5"/>
      <c r="F401" s="6"/>
      <c r="G401" s="4"/>
      <c r="H401" s="4"/>
      <c r="I401" s="4" t="str">
        <f t="shared" si="57"/>
        <v/>
      </c>
      <c r="BN401" s="7"/>
      <c r="BQ401" s="7"/>
    </row>
    <row r="402" spans="1:69" ht="15" customHeight="1" x14ac:dyDescent="0.3">
      <c r="A402" s="5"/>
      <c r="B402" s="5"/>
      <c r="C402" s="5"/>
      <c r="D402" s="5"/>
      <c r="F402" s="6"/>
      <c r="G402" s="4"/>
      <c r="H402" s="4"/>
      <c r="I402" s="4" t="str">
        <f t="shared" si="57"/>
        <v/>
      </c>
      <c r="BN402" s="7"/>
      <c r="BQ402" s="7"/>
    </row>
    <row r="403" spans="1:69" ht="15" customHeight="1" x14ac:dyDescent="0.3">
      <c r="A403" s="5"/>
      <c r="B403" s="5"/>
      <c r="C403" s="5"/>
      <c r="D403" s="5"/>
      <c r="F403" s="6"/>
      <c r="G403" s="4"/>
      <c r="H403" s="4"/>
      <c r="I403" s="4" t="str">
        <f t="shared" si="57"/>
        <v/>
      </c>
      <c r="BN403" s="7"/>
      <c r="BQ403" s="7"/>
    </row>
    <row r="404" spans="1:69" ht="15" customHeight="1" x14ac:dyDescent="0.3">
      <c r="A404" s="5"/>
      <c r="B404" s="5"/>
      <c r="C404" s="5"/>
      <c r="D404" s="5"/>
      <c r="F404" s="6"/>
      <c r="G404" s="4"/>
      <c r="H404" s="4"/>
      <c r="I404" s="4" t="str">
        <f t="shared" si="57"/>
        <v/>
      </c>
      <c r="BN404" s="7"/>
      <c r="BQ404" s="7"/>
    </row>
    <row r="405" spans="1:69" ht="15" customHeight="1" x14ac:dyDescent="0.3">
      <c r="A405" s="5"/>
      <c r="B405" s="5"/>
      <c r="C405" s="5"/>
      <c r="D405" s="5"/>
      <c r="F405" s="6"/>
      <c r="G405" s="4"/>
      <c r="H405" s="4"/>
      <c r="I405" s="4" t="str">
        <f t="shared" si="57"/>
        <v/>
      </c>
      <c r="BN405" s="7"/>
      <c r="BQ405" s="7"/>
    </row>
    <row r="406" spans="1:69" ht="15" customHeight="1" x14ac:dyDescent="0.3">
      <c r="A406" s="5"/>
      <c r="B406" s="5"/>
      <c r="C406" s="5"/>
      <c r="D406" s="5"/>
      <c r="F406" s="6"/>
      <c r="G406" s="4"/>
      <c r="H406" s="4"/>
      <c r="I406" s="4" t="str">
        <f t="shared" si="57"/>
        <v/>
      </c>
      <c r="BN406" s="7"/>
      <c r="BQ406" s="7"/>
    </row>
    <row r="407" spans="1:69" ht="15" customHeight="1" x14ac:dyDescent="0.3">
      <c r="A407" s="5"/>
      <c r="B407" s="5"/>
      <c r="C407" s="5"/>
      <c r="D407" s="5"/>
      <c r="F407" s="6"/>
      <c r="G407" s="4"/>
      <c r="H407" s="4"/>
      <c r="I407" s="4" t="str">
        <f t="shared" si="57"/>
        <v/>
      </c>
      <c r="BN407" s="7"/>
      <c r="BQ407" s="7"/>
    </row>
    <row r="408" spans="1:69" ht="15" customHeight="1" x14ac:dyDescent="0.3">
      <c r="A408" s="5"/>
      <c r="B408" s="5"/>
      <c r="C408" s="5"/>
      <c r="D408" s="5"/>
      <c r="F408" s="6"/>
      <c r="G408" s="4"/>
      <c r="H408" s="4"/>
      <c r="I408" s="4" t="str">
        <f t="shared" si="57"/>
        <v/>
      </c>
      <c r="BN408" s="7"/>
      <c r="BQ408" s="7"/>
    </row>
    <row r="409" spans="1:69" ht="15" customHeight="1" x14ac:dyDescent="0.3">
      <c r="A409" s="5"/>
      <c r="B409" s="5"/>
      <c r="C409" s="5"/>
      <c r="D409" s="5"/>
      <c r="F409" s="6"/>
      <c r="G409" s="4"/>
      <c r="H409" s="4"/>
      <c r="I409" s="4" t="str">
        <f t="shared" si="57"/>
        <v/>
      </c>
      <c r="BN409" s="7"/>
      <c r="BQ409" s="7"/>
    </row>
    <row r="410" spans="1:69" ht="15" customHeight="1" x14ac:dyDescent="0.3">
      <c r="A410" s="5"/>
      <c r="B410" s="5"/>
      <c r="C410" s="5"/>
      <c r="D410" s="5"/>
      <c r="F410" s="6"/>
      <c r="G410" s="4"/>
      <c r="H410" s="4"/>
      <c r="I410" s="4" t="str">
        <f t="shared" si="57"/>
        <v/>
      </c>
      <c r="BN410" s="7"/>
      <c r="BQ410" s="7"/>
    </row>
    <row r="411" spans="1:69" ht="15" customHeight="1" x14ac:dyDescent="0.3">
      <c r="A411" s="5"/>
      <c r="B411" s="5"/>
      <c r="C411" s="5"/>
      <c r="D411" s="5"/>
      <c r="F411" s="6"/>
      <c r="G411" s="4"/>
      <c r="H411" s="4"/>
      <c r="I411" s="4" t="str">
        <f t="shared" si="57"/>
        <v/>
      </c>
      <c r="BN411" s="7"/>
      <c r="BQ411" s="7"/>
    </row>
    <row r="412" spans="1:69" ht="15" customHeight="1" x14ac:dyDescent="0.3">
      <c r="A412" s="5"/>
      <c r="B412" s="5"/>
      <c r="C412" s="5"/>
      <c r="D412" s="5"/>
      <c r="F412" s="6"/>
      <c r="G412" s="4"/>
      <c r="H412" s="4"/>
      <c r="I412" s="4" t="str">
        <f t="shared" si="57"/>
        <v/>
      </c>
      <c r="BN412" s="7"/>
      <c r="BQ412" s="7"/>
    </row>
    <row r="413" spans="1:69" ht="15" customHeight="1" x14ac:dyDescent="0.3">
      <c r="A413" s="5"/>
      <c r="B413" s="5"/>
      <c r="C413" s="5"/>
      <c r="D413" s="5"/>
      <c r="F413" s="6"/>
      <c r="G413" s="4"/>
      <c r="H413" s="4"/>
      <c r="I413" s="4" t="str">
        <f t="shared" si="57"/>
        <v/>
      </c>
      <c r="BN413" s="7"/>
      <c r="BQ413" s="7"/>
    </row>
    <row r="414" spans="1:69" ht="15" customHeight="1" x14ac:dyDescent="0.3">
      <c r="A414" s="5"/>
      <c r="B414" s="5"/>
      <c r="C414" s="5"/>
      <c r="D414" s="5"/>
      <c r="F414" s="6"/>
      <c r="G414" s="4"/>
      <c r="H414" s="4"/>
      <c r="I414" s="4" t="str">
        <f t="shared" si="57"/>
        <v/>
      </c>
      <c r="BN414" s="7"/>
      <c r="BQ414" s="7"/>
    </row>
    <row r="415" spans="1:69" ht="15" customHeight="1" x14ac:dyDescent="0.3">
      <c r="A415" s="5"/>
      <c r="B415" s="5"/>
      <c r="C415" s="5"/>
      <c r="D415" s="5"/>
      <c r="F415" s="6"/>
      <c r="G415" s="4"/>
      <c r="H415" s="4"/>
      <c r="I415" s="4" t="str">
        <f t="shared" si="57"/>
        <v/>
      </c>
      <c r="BN415" s="7"/>
      <c r="BQ415" s="7"/>
    </row>
    <row r="416" spans="1:69" ht="15" customHeight="1" x14ac:dyDescent="0.3">
      <c r="A416" s="5"/>
      <c r="B416" s="5"/>
      <c r="C416" s="5"/>
      <c r="D416" s="5"/>
      <c r="F416" s="6"/>
      <c r="G416" s="4"/>
      <c r="H416" s="4"/>
      <c r="I416" s="4" t="str">
        <f t="shared" si="57"/>
        <v/>
      </c>
      <c r="BN416" s="7"/>
      <c r="BQ416" s="7"/>
    </row>
    <row r="417" spans="1:69" ht="15" customHeight="1" x14ac:dyDescent="0.3">
      <c r="A417" s="5"/>
      <c r="B417" s="5"/>
      <c r="C417" s="5"/>
      <c r="D417" s="5"/>
      <c r="F417" s="6"/>
      <c r="G417" s="4"/>
      <c r="H417" s="4"/>
      <c r="I417" s="4" t="str">
        <f t="shared" si="57"/>
        <v/>
      </c>
      <c r="BN417" s="7"/>
      <c r="BQ417" s="7"/>
    </row>
    <row r="418" spans="1:69" ht="15" customHeight="1" x14ac:dyDescent="0.3">
      <c r="A418" s="5"/>
      <c r="B418" s="5"/>
      <c r="C418" s="5"/>
      <c r="D418" s="5"/>
      <c r="F418" s="6"/>
      <c r="G418" s="4"/>
      <c r="H418" s="4"/>
      <c r="I418" s="4" t="str">
        <f t="shared" si="57"/>
        <v/>
      </c>
      <c r="BN418" s="7"/>
      <c r="BQ418" s="7"/>
    </row>
    <row r="419" spans="1:69" ht="15" customHeight="1" x14ac:dyDescent="0.3">
      <c r="A419" s="5"/>
      <c r="B419" s="5"/>
      <c r="C419" s="5"/>
      <c r="D419" s="5"/>
      <c r="F419" s="6"/>
      <c r="G419" s="4"/>
      <c r="H419" s="4"/>
      <c r="I419" s="4" t="str">
        <f t="shared" si="57"/>
        <v/>
      </c>
      <c r="BN419" s="7"/>
      <c r="BQ419" s="7"/>
    </row>
    <row r="420" spans="1:69" ht="15" customHeight="1" x14ac:dyDescent="0.3">
      <c r="A420" s="5"/>
      <c r="B420" s="5"/>
      <c r="C420" s="5"/>
      <c r="D420" s="5"/>
      <c r="F420" s="6"/>
      <c r="G420" s="4"/>
      <c r="H420" s="4"/>
      <c r="I420" s="4" t="str">
        <f t="shared" si="57"/>
        <v/>
      </c>
      <c r="BN420" s="7"/>
      <c r="BQ420" s="7"/>
    </row>
    <row r="421" spans="1:69" ht="15" customHeight="1" x14ac:dyDescent="0.3">
      <c r="A421" s="5"/>
      <c r="B421" s="5"/>
      <c r="C421" s="5"/>
      <c r="D421" s="5"/>
      <c r="F421" s="6"/>
      <c r="G421" s="4"/>
      <c r="H421" s="4"/>
      <c r="I421" s="4" t="str">
        <f t="shared" si="57"/>
        <v/>
      </c>
      <c r="BN421" s="7"/>
      <c r="BQ421" s="7"/>
    </row>
    <row r="422" spans="1:69" ht="15" customHeight="1" x14ac:dyDescent="0.3">
      <c r="A422" s="5"/>
      <c r="B422" s="5"/>
      <c r="C422" s="5"/>
      <c r="D422" s="5"/>
      <c r="F422" s="6"/>
      <c r="G422" s="4"/>
      <c r="H422" s="4"/>
      <c r="I422" s="4" t="str">
        <f t="shared" si="57"/>
        <v/>
      </c>
      <c r="BN422" s="7"/>
      <c r="BQ422" s="7"/>
    </row>
    <row r="423" spans="1:69" ht="15" customHeight="1" x14ac:dyDescent="0.3">
      <c r="A423" s="5"/>
      <c r="B423" s="5"/>
      <c r="C423" s="5"/>
      <c r="D423" s="5"/>
      <c r="F423" s="6"/>
      <c r="G423" s="4"/>
      <c r="H423" s="4"/>
      <c r="I423" s="4" t="str">
        <f t="shared" si="57"/>
        <v/>
      </c>
      <c r="BN423" s="7"/>
      <c r="BQ423" s="7"/>
    </row>
    <row r="424" spans="1:69" ht="15" customHeight="1" x14ac:dyDescent="0.3">
      <c r="A424" s="5"/>
      <c r="B424" s="5"/>
      <c r="C424" s="5"/>
      <c r="D424" s="5"/>
      <c r="F424" s="6"/>
      <c r="G424" s="4"/>
      <c r="H424" s="4"/>
      <c r="I424" s="4" t="str">
        <f t="shared" si="57"/>
        <v/>
      </c>
      <c r="BN424" s="7"/>
      <c r="BQ424" s="7"/>
    </row>
    <row r="425" spans="1:69" ht="15" customHeight="1" x14ac:dyDescent="0.3">
      <c r="A425" s="5"/>
      <c r="B425" s="5"/>
      <c r="C425" s="5"/>
      <c r="D425" s="5"/>
      <c r="F425" s="6"/>
      <c r="G425" s="4"/>
      <c r="H425" s="4"/>
      <c r="I425" s="4" t="str">
        <f t="shared" si="57"/>
        <v/>
      </c>
      <c r="BN425" s="7"/>
      <c r="BQ425" s="7"/>
    </row>
    <row r="426" spans="1:69" ht="15" customHeight="1" x14ac:dyDescent="0.3">
      <c r="A426" s="5"/>
      <c r="B426" s="5"/>
      <c r="C426" s="5"/>
      <c r="D426" s="5"/>
      <c r="F426" s="6"/>
      <c r="G426" s="4"/>
      <c r="H426" s="4"/>
      <c r="I426" s="4" t="str">
        <f t="shared" si="57"/>
        <v/>
      </c>
      <c r="BN426" s="7"/>
      <c r="BQ426" s="7"/>
    </row>
    <row r="427" spans="1:69" ht="15" customHeight="1" x14ac:dyDescent="0.3">
      <c r="A427" s="5"/>
      <c r="B427" s="5"/>
      <c r="C427" s="5"/>
      <c r="D427" s="5"/>
      <c r="F427" s="6"/>
      <c r="G427" s="4"/>
      <c r="H427" s="4"/>
      <c r="I427" s="4" t="str">
        <f t="shared" si="57"/>
        <v/>
      </c>
      <c r="BN427" s="7"/>
      <c r="BQ427" s="7"/>
    </row>
    <row r="428" spans="1:69" ht="15" customHeight="1" x14ac:dyDescent="0.3">
      <c r="A428" s="5"/>
      <c r="B428" s="5"/>
      <c r="C428" s="5"/>
      <c r="D428" s="5"/>
      <c r="F428" s="6"/>
      <c r="G428" s="4"/>
      <c r="H428" s="4"/>
      <c r="I428" s="4" t="str">
        <f t="shared" si="57"/>
        <v/>
      </c>
      <c r="BN428" s="7"/>
      <c r="BQ428" s="7"/>
    </row>
    <row r="429" spans="1:69" ht="15" customHeight="1" x14ac:dyDescent="0.3">
      <c r="A429" s="5"/>
      <c r="B429" s="5"/>
      <c r="C429" s="5"/>
      <c r="D429" s="5"/>
      <c r="F429" s="6"/>
      <c r="G429" s="4"/>
      <c r="H429" s="4"/>
      <c r="I429" s="4" t="str">
        <f t="shared" si="57"/>
        <v/>
      </c>
      <c r="BN429" s="7"/>
      <c r="BQ429" s="7"/>
    </row>
    <row r="430" spans="1:69" ht="15" customHeight="1" x14ac:dyDescent="0.3">
      <c r="A430" s="5"/>
      <c r="B430" s="5"/>
      <c r="C430" s="5"/>
      <c r="D430" s="5"/>
      <c r="F430" s="6"/>
      <c r="G430" s="4"/>
      <c r="H430" s="4"/>
      <c r="I430" s="4" t="str">
        <f t="shared" si="57"/>
        <v/>
      </c>
      <c r="BN430" s="7"/>
      <c r="BQ430" s="7"/>
    </row>
    <row r="431" spans="1:69" ht="15" customHeight="1" x14ac:dyDescent="0.3">
      <c r="A431" s="5"/>
      <c r="B431" s="5"/>
      <c r="C431" s="5"/>
      <c r="D431" s="5"/>
      <c r="F431" s="6"/>
      <c r="G431" s="4"/>
      <c r="H431" s="4"/>
      <c r="I431" s="4" t="str">
        <f t="shared" si="57"/>
        <v/>
      </c>
      <c r="BN431" s="7"/>
      <c r="BQ431" s="7"/>
    </row>
    <row r="432" spans="1:69" ht="15" customHeight="1" x14ac:dyDescent="0.3">
      <c r="A432" s="5"/>
      <c r="B432" s="5"/>
      <c r="C432" s="5"/>
      <c r="D432" s="5"/>
      <c r="F432" s="6"/>
      <c r="G432" s="4"/>
      <c r="H432" s="4"/>
      <c r="I432" s="4" t="str">
        <f t="shared" si="57"/>
        <v/>
      </c>
      <c r="BN432" s="7"/>
      <c r="BQ432" s="7"/>
    </row>
    <row r="433" spans="1:69" ht="15" customHeight="1" x14ac:dyDescent="0.3">
      <c r="A433" s="5"/>
      <c r="B433" s="5"/>
      <c r="C433" s="5"/>
      <c r="D433" s="5"/>
      <c r="F433" s="6"/>
      <c r="G433" s="4"/>
      <c r="H433" s="4"/>
      <c r="I433" s="4" t="str">
        <f t="shared" si="57"/>
        <v/>
      </c>
      <c r="BN433" s="7"/>
      <c r="BQ433" s="7"/>
    </row>
    <row r="434" spans="1:69" ht="15" customHeight="1" x14ac:dyDescent="0.3">
      <c r="A434" s="5"/>
      <c r="B434" s="5"/>
      <c r="C434" s="5"/>
      <c r="D434" s="5"/>
      <c r="F434" s="6"/>
      <c r="G434" s="4"/>
      <c r="H434" s="4"/>
      <c r="I434" s="4" t="str">
        <f t="shared" si="57"/>
        <v/>
      </c>
      <c r="BN434" s="7"/>
      <c r="BQ434" s="7"/>
    </row>
    <row r="435" spans="1:69" ht="15" customHeight="1" x14ac:dyDescent="0.3">
      <c r="A435" s="5"/>
      <c r="B435" s="5"/>
      <c r="C435" s="5"/>
      <c r="D435" s="5"/>
      <c r="F435" s="6"/>
      <c r="G435" s="4"/>
      <c r="H435" s="4"/>
      <c r="I435" s="4" t="str">
        <f t="shared" si="57"/>
        <v/>
      </c>
      <c r="BN435" s="7"/>
      <c r="BQ435" s="7"/>
    </row>
    <row r="436" spans="1:69" ht="15" customHeight="1" x14ac:dyDescent="0.3">
      <c r="A436" s="5"/>
      <c r="B436" s="5"/>
      <c r="C436" s="5"/>
      <c r="D436" s="5"/>
      <c r="F436" s="6"/>
      <c r="G436" s="4"/>
      <c r="H436" s="4"/>
      <c r="I436" s="4" t="str">
        <f t="shared" si="57"/>
        <v/>
      </c>
      <c r="BN436" s="7"/>
      <c r="BQ436" s="7"/>
    </row>
    <row r="437" spans="1:69" ht="15" customHeight="1" x14ac:dyDescent="0.3">
      <c r="A437" s="5"/>
      <c r="B437" s="5"/>
      <c r="C437" s="5"/>
      <c r="D437" s="5"/>
      <c r="F437" s="6"/>
      <c r="G437" s="4"/>
      <c r="H437" s="4"/>
      <c r="I437" s="4" t="str">
        <f t="shared" si="57"/>
        <v/>
      </c>
      <c r="BN437" s="7"/>
      <c r="BQ437" s="7"/>
    </row>
    <row r="438" spans="1:69" ht="15" customHeight="1" x14ac:dyDescent="0.3">
      <c r="A438" s="5"/>
      <c r="B438" s="5"/>
      <c r="C438" s="5"/>
      <c r="D438" s="5"/>
      <c r="F438" s="6"/>
      <c r="G438" s="4"/>
      <c r="H438" s="4"/>
      <c r="I438" s="4" t="str">
        <f t="shared" si="57"/>
        <v/>
      </c>
      <c r="BN438" s="7"/>
      <c r="BQ438" s="7"/>
    </row>
    <row r="439" spans="1:69" ht="15" customHeight="1" x14ac:dyDescent="0.3">
      <c r="A439" s="5"/>
      <c r="B439" s="5"/>
      <c r="C439" s="5"/>
      <c r="D439" s="5"/>
      <c r="F439" s="6"/>
      <c r="G439" s="4"/>
      <c r="H439" s="4"/>
      <c r="I439" s="4" t="str">
        <f t="shared" si="57"/>
        <v/>
      </c>
      <c r="BN439" s="7"/>
      <c r="BQ439" s="7"/>
    </row>
    <row r="440" spans="1:69" ht="15" customHeight="1" x14ac:dyDescent="0.3">
      <c r="A440" s="5"/>
      <c r="B440" s="5"/>
      <c r="C440" s="5"/>
      <c r="D440" s="5"/>
      <c r="F440" s="6"/>
      <c r="G440" s="4"/>
      <c r="H440" s="4"/>
      <c r="I440" s="4" t="str">
        <f t="shared" si="57"/>
        <v/>
      </c>
      <c r="BN440" s="7"/>
      <c r="BQ440" s="7"/>
    </row>
    <row r="441" spans="1:69" ht="15" customHeight="1" x14ac:dyDescent="0.3">
      <c r="A441" s="5"/>
      <c r="B441" s="5"/>
      <c r="C441" s="5"/>
      <c r="D441" s="5"/>
      <c r="F441" s="6"/>
      <c r="G441" s="4"/>
      <c r="H441" s="4"/>
      <c r="I441" s="4" t="str">
        <f t="shared" si="57"/>
        <v/>
      </c>
      <c r="BN441" s="7"/>
      <c r="BQ441" s="7"/>
    </row>
    <row r="442" spans="1:69" ht="15" customHeight="1" x14ac:dyDescent="0.3">
      <c r="A442" s="5"/>
      <c r="B442" s="5"/>
      <c r="C442" s="5"/>
      <c r="D442" s="5"/>
      <c r="F442" s="6"/>
      <c r="G442" s="4"/>
      <c r="H442" s="4"/>
      <c r="I442" s="4" t="str">
        <f t="shared" si="57"/>
        <v/>
      </c>
      <c r="BN442" s="7"/>
      <c r="BQ442" s="7"/>
    </row>
    <row r="443" spans="1:69" ht="15" customHeight="1" x14ac:dyDescent="0.3">
      <c r="A443" s="5"/>
      <c r="B443" s="5"/>
      <c r="C443" s="5"/>
      <c r="D443" s="5"/>
      <c r="F443" s="6"/>
      <c r="G443" s="4"/>
      <c r="H443" s="4"/>
      <c r="I443" s="4" t="str">
        <f t="shared" si="57"/>
        <v/>
      </c>
      <c r="BN443" s="7"/>
      <c r="BQ443" s="7"/>
    </row>
    <row r="444" spans="1:69" ht="15" customHeight="1" x14ac:dyDescent="0.3">
      <c r="A444" s="5"/>
      <c r="B444" s="5"/>
      <c r="C444" s="5"/>
      <c r="D444" s="5"/>
      <c r="F444" s="6"/>
      <c r="G444" s="4"/>
      <c r="H444" s="4"/>
      <c r="I444" s="4" t="str">
        <f t="shared" si="57"/>
        <v/>
      </c>
      <c r="BN444" s="7"/>
      <c r="BQ444" s="7"/>
    </row>
    <row r="445" spans="1:69" ht="15" customHeight="1" x14ac:dyDescent="0.3">
      <c r="A445" s="5"/>
      <c r="B445" s="5"/>
      <c r="C445" s="5"/>
      <c r="D445" s="5"/>
      <c r="F445" s="6"/>
      <c r="G445" s="4"/>
      <c r="H445" s="4"/>
      <c r="I445" s="4" t="str">
        <f t="shared" si="57"/>
        <v/>
      </c>
      <c r="BN445" s="7"/>
      <c r="BQ445" s="7"/>
    </row>
    <row r="446" spans="1:69" ht="15" customHeight="1" x14ac:dyDescent="0.3">
      <c r="A446" s="5"/>
      <c r="B446" s="5"/>
      <c r="C446" s="5"/>
      <c r="D446" s="5"/>
      <c r="F446" s="6"/>
      <c r="G446" s="4"/>
      <c r="H446" s="4"/>
      <c r="I446" s="4" t="str">
        <f t="shared" si="57"/>
        <v/>
      </c>
      <c r="BN446" s="7"/>
      <c r="BQ446" s="7"/>
    </row>
    <row r="447" spans="1:69" ht="15" customHeight="1" x14ac:dyDescent="0.3">
      <c r="A447" s="5"/>
      <c r="B447" s="5"/>
      <c r="C447" s="5"/>
      <c r="D447" s="5"/>
      <c r="F447" s="6"/>
      <c r="G447" s="4"/>
      <c r="H447" s="4"/>
      <c r="I447" s="4" t="str">
        <f t="shared" si="57"/>
        <v/>
      </c>
      <c r="BN447" s="7"/>
      <c r="BQ447" s="7"/>
    </row>
    <row r="448" spans="1:69" ht="15" customHeight="1" x14ac:dyDescent="0.3">
      <c r="A448" s="5"/>
      <c r="B448" s="5"/>
      <c r="C448" s="5"/>
      <c r="D448" s="5"/>
      <c r="F448" s="6"/>
      <c r="G448" s="4"/>
      <c r="H448" s="4"/>
      <c r="I448" s="4" t="str">
        <f t="shared" si="57"/>
        <v/>
      </c>
      <c r="BN448" s="7"/>
      <c r="BQ448" s="7"/>
    </row>
    <row r="449" spans="1:69" ht="15" customHeight="1" x14ac:dyDescent="0.3">
      <c r="A449" s="5"/>
      <c r="B449" s="5"/>
      <c r="C449" s="5"/>
      <c r="D449" s="5"/>
      <c r="F449" s="6"/>
      <c r="G449" s="4"/>
      <c r="H449" s="4"/>
      <c r="I449" s="4" t="str">
        <f t="shared" si="57"/>
        <v/>
      </c>
      <c r="BN449" s="7"/>
      <c r="BQ449" s="7"/>
    </row>
    <row r="450" spans="1:69" ht="15" customHeight="1" x14ac:dyDescent="0.3">
      <c r="A450" s="5"/>
      <c r="B450" s="5"/>
      <c r="C450" s="5"/>
      <c r="D450" s="5"/>
      <c r="F450" s="6"/>
      <c r="G450" s="4"/>
      <c r="H450" s="4"/>
      <c r="I450" s="4" t="str">
        <f t="shared" si="57"/>
        <v/>
      </c>
      <c r="BN450" s="7"/>
      <c r="BQ450" s="7"/>
    </row>
    <row r="451" spans="1:69" ht="15" customHeight="1" x14ac:dyDescent="0.3">
      <c r="A451" s="5"/>
      <c r="B451" s="5"/>
      <c r="C451" s="5"/>
      <c r="D451" s="5"/>
      <c r="F451" s="6"/>
      <c r="G451" s="4"/>
      <c r="H451" s="4"/>
      <c r="I451" s="4" t="str">
        <f t="shared" ref="I451:I514" si="58">IFERROR(MID(A451,FIND("Sorry, the entered Application Number",A451),68),"")</f>
        <v/>
      </c>
      <c r="BN451" s="7"/>
      <c r="BQ451" s="7"/>
    </row>
    <row r="452" spans="1:69" ht="15" customHeight="1" x14ac:dyDescent="0.3">
      <c r="A452" s="5"/>
      <c r="B452" s="5"/>
      <c r="C452" s="5"/>
      <c r="D452" s="5"/>
      <c r="F452" s="6"/>
      <c r="G452" s="4"/>
      <c r="H452" s="4"/>
      <c r="I452" s="4" t="str">
        <f t="shared" si="58"/>
        <v/>
      </c>
      <c r="BN452" s="7"/>
      <c r="BQ452" s="7"/>
    </row>
    <row r="453" spans="1:69" ht="15" customHeight="1" x14ac:dyDescent="0.3">
      <c r="A453" s="5"/>
      <c r="B453" s="5"/>
      <c r="C453" s="5"/>
      <c r="D453" s="5"/>
      <c r="F453" s="6"/>
      <c r="G453" s="4"/>
      <c r="H453" s="4"/>
      <c r="I453" s="4" t="str">
        <f t="shared" si="58"/>
        <v/>
      </c>
      <c r="BN453" s="7"/>
      <c r="BQ453" s="7"/>
    </row>
    <row r="454" spans="1:69" ht="15" customHeight="1" x14ac:dyDescent="0.3">
      <c r="A454" s="5"/>
      <c r="B454" s="5"/>
      <c r="C454" s="5"/>
      <c r="D454" s="5"/>
      <c r="F454" s="6"/>
      <c r="G454" s="4"/>
      <c r="H454" s="4"/>
      <c r="I454" s="4" t="str">
        <f t="shared" si="58"/>
        <v/>
      </c>
      <c r="BN454" s="7"/>
      <c r="BQ454" s="7"/>
    </row>
    <row r="455" spans="1:69" ht="15" customHeight="1" x14ac:dyDescent="0.3">
      <c r="A455" s="5"/>
      <c r="B455" s="5"/>
      <c r="C455" s="5"/>
      <c r="D455" s="5"/>
      <c r="F455" s="6"/>
      <c r="G455" s="4"/>
      <c r="H455" s="4"/>
      <c r="I455" s="4" t="str">
        <f t="shared" si="58"/>
        <v/>
      </c>
      <c r="BN455" s="7"/>
      <c r="BQ455" s="7"/>
    </row>
    <row r="456" spans="1:69" ht="15" customHeight="1" x14ac:dyDescent="0.3">
      <c r="A456" s="5"/>
      <c r="B456" s="5"/>
      <c r="C456" s="5"/>
      <c r="D456" s="5"/>
      <c r="F456" s="6"/>
      <c r="G456" s="4"/>
      <c r="H456" s="4"/>
      <c r="I456" s="4" t="str">
        <f t="shared" si="58"/>
        <v/>
      </c>
      <c r="BN456" s="7"/>
      <c r="BQ456" s="7"/>
    </row>
    <row r="457" spans="1:69" ht="15" customHeight="1" x14ac:dyDescent="0.3">
      <c r="A457" s="5"/>
      <c r="B457" s="5"/>
      <c r="C457" s="5"/>
      <c r="D457" s="5"/>
      <c r="F457" s="6"/>
      <c r="G457" s="4"/>
      <c r="H457" s="4"/>
      <c r="I457" s="4" t="str">
        <f t="shared" si="58"/>
        <v/>
      </c>
      <c r="BN457" s="7"/>
      <c r="BQ457" s="7"/>
    </row>
    <row r="458" spans="1:69" ht="15" customHeight="1" x14ac:dyDescent="0.3">
      <c r="A458" s="5"/>
      <c r="B458" s="5"/>
      <c r="C458" s="5"/>
      <c r="D458" s="5"/>
      <c r="F458" s="6"/>
      <c r="G458" s="4"/>
      <c r="H458" s="4"/>
      <c r="I458" s="4" t="str">
        <f t="shared" si="58"/>
        <v/>
      </c>
      <c r="BN458" s="7"/>
      <c r="BQ458" s="7"/>
    </row>
    <row r="459" spans="1:69" ht="15" customHeight="1" x14ac:dyDescent="0.3">
      <c r="A459" s="5"/>
      <c r="B459" s="5"/>
      <c r="C459" s="5"/>
      <c r="D459" s="5"/>
      <c r="F459" s="6"/>
      <c r="G459" s="4"/>
      <c r="H459" s="4"/>
      <c r="I459" s="4" t="str">
        <f t="shared" si="58"/>
        <v/>
      </c>
      <c r="BN459" s="7"/>
      <c r="BQ459" s="7"/>
    </row>
    <row r="460" spans="1:69" ht="15" customHeight="1" x14ac:dyDescent="0.3">
      <c r="A460" s="5"/>
      <c r="B460" s="5"/>
      <c r="C460" s="5"/>
      <c r="D460" s="5"/>
      <c r="F460" s="6"/>
      <c r="G460" s="4"/>
      <c r="H460" s="4"/>
      <c r="I460" s="4" t="str">
        <f t="shared" si="58"/>
        <v/>
      </c>
      <c r="BN460" s="7"/>
      <c r="BQ460" s="7"/>
    </row>
    <row r="461" spans="1:69" ht="15" customHeight="1" x14ac:dyDescent="0.3">
      <c r="A461" s="5"/>
      <c r="B461" s="5"/>
      <c r="C461" s="5"/>
      <c r="D461" s="5"/>
      <c r="F461" s="6"/>
      <c r="G461" s="4"/>
      <c r="H461" s="4"/>
      <c r="I461" s="4" t="str">
        <f t="shared" si="58"/>
        <v/>
      </c>
      <c r="BN461" s="7"/>
      <c r="BQ461" s="7"/>
    </row>
    <row r="462" spans="1:69" ht="15" customHeight="1" x14ac:dyDescent="0.3">
      <c r="A462" s="5"/>
      <c r="B462" s="5"/>
      <c r="C462" s="5"/>
      <c r="D462" s="5"/>
      <c r="F462" s="6"/>
      <c r="G462" s="4"/>
      <c r="H462" s="4"/>
      <c r="I462" s="4" t="str">
        <f t="shared" si="58"/>
        <v/>
      </c>
      <c r="BN462" s="7"/>
      <c r="BQ462" s="7"/>
    </row>
    <row r="463" spans="1:69" ht="15" customHeight="1" x14ac:dyDescent="0.3">
      <c r="A463" s="5"/>
      <c r="B463" s="5"/>
      <c r="C463" s="5"/>
      <c r="D463" s="5"/>
      <c r="F463" s="6"/>
      <c r="G463" s="4"/>
      <c r="H463" s="4"/>
      <c r="I463" s="4" t="str">
        <f t="shared" si="58"/>
        <v/>
      </c>
      <c r="BN463" s="7"/>
      <c r="BQ463" s="7"/>
    </row>
    <row r="464" spans="1:69" ht="15" customHeight="1" x14ac:dyDescent="0.3">
      <c r="A464" s="5"/>
      <c r="B464" s="5"/>
      <c r="C464" s="5"/>
      <c r="D464" s="5"/>
      <c r="F464" s="6"/>
      <c r="G464" s="4"/>
      <c r="H464" s="4"/>
      <c r="I464" s="4" t="str">
        <f t="shared" si="58"/>
        <v/>
      </c>
      <c r="BN464" s="7"/>
      <c r="BQ464" s="7"/>
    </row>
    <row r="465" spans="1:69" ht="15" customHeight="1" x14ac:dyDescent="0.3">
      <c r="A465" s="5"/>
      <c r="B465" s="5"/>
      <c r="C465" s="5"/>
      <c r="D465" s="5"/>
      <c r="F465" s="6"/>
      <c r="G465" s="4"/>
      <c r="H465" s="4"/>
      <c r="I465" s="4" t="str">
        <f t="shared" si="58"/>
        <v/>
      </c>
      <c r="BN465" s="7"/>
      <c r="BQ465" s="7"/>
    </row>
    <row r="466" spans="1:69" ht="15" customHeight="1" x14ac:dyDescent="0.3">
      <c r="A466" s="5"/>
      <c r="B466" s="5"/>
      <c r="C466" s="5"/>
      <c r="D466" s="5"/>
      <c r="F466" s="6"/>
      <c r="G466" s="4"/>
      <c r="H466" s="4"/>
      <c r="I466" s="4" t="str">
        <f t="shared" si="58"/>
        <v/>
      </c>
      <c r="BN466" s="7"/>
      <c r="BQ466" s="7"/>
    </row>
    <row r="467" spans="1:69" ht="15" customHeight="1" x14ac:dyDescent="0.3">
      <c r="A467" s="5"/>
      <c r="B467" s="5"/>
      <c r="C467" s="5"/>
      <c r="D467" s="5"/>
      <c r="F467" s="6"/>
      <c r="G467" s="4"/>
      <c r="H467" s="4"/>
      <c r="I467" s="4" t="str">
        <f t="shared" si="58"/>
        <v/>
      </c>
      <c r="BN467" s="7"/>
      <c r="BQ467" s="7"/>
    </row>
    <row r="468" spans="1:69" ht="15" customHeight="1" x14ac:dyDescent="0.3">
      <c r="A468" s="5"/>
      <c r="B468" s="5"/>
      <c r="C468" s="5"/>
      <c r="D468" s="5"/>
      <c r="F468" s="6"/>
      <c r="G468" s="4"/>
      <c r="H468" s="4"/>
      <c r="I468" s="4" t="str">
        <f t="shared" si="58"/>
        <v/>
      </c>
      <c r="BN468" s="7"/>
      <c r="BQ468" s="7"/>
    </row>
    <row r="469" spans="1:69" ht="15" customHeight="1" x14ac:dyDescent="0.3">
      <c r="A469" s="5"/>
      <c r="B469" s="5"/>
      <c r="C469" s="5"/>
      <c r="D469" s="5"/>
      <c r="F469" s="6"/>
      <c r="G469" s="4"/>
      <c r="H469" s="4"/>
      <c r="I469" s="4" t="str">
        <f t="shared" si="58"/>
        <v/>
      </c>
      <c r="BN469" s="7"/>
      <c r="BQ469" s="7"/>
    </row>
    <row r="470" spans="1:69" ht="15" customHeight="1" x14ac:dyDescent="0.3">
      <c r="A470" s="5"/>
      <c r="B470" s="5"/>
      <c r="C470" s="5"/>
      <c r="D470" s="5"/>
      <c r="F470" s="6"/>
      <c r="G470" s="4"/>
      <c r="H470" s="4"/>
      <c r="I470" s="4" t="str">
        <f t="shared" si="58"/>
        <v/>
      </c>
      <c r="BN470" s="7"/>
      <c r="BQ470" s="7"/>
    </row>
    <row r="471" spans="1:69" ht="15" customHeight="1" x14ac:dyDescent="0.3">
      <c r="A471" s="5"/>
      <c r="B471" s="5"/>
      <c r="C471" s="5"/>
      <c r="D471" s="5"/>
      <c r="F471" s="6"/>
      <c r="G471" s="4"/>
      <c r="H471" s="4"/>
      <c r="I471" s="4" t="str">
        <f t="shared" si="58"/>
        <v/>
      </c>
      <c r="BN471" s="7"/>
      <c r="BQ471" s="7"/>
    </row>
    <row r="472" spans="1:69" ht="15" customHeight="1" x14ac:dyDescent="0.3">
      <c r="A472" s="5"/>
      <c r="B472" s="5"/>
      <c r="C472" s="5"/>
      <c r="D472" s="5"/>
      <c r="F472" s="6"/>
      <c r="G472" s="4"/>
      <c r="H472" s="4"/>
      <c r="I472" s="4" t="str">
        <f t="shared" si="58"/>
        <v/>
      </c>
      <c r="BN472" s="7"/>
      <c r="BQ472" s="7"/>
    </row>
    <row r="473" spans="1:69" ht="15" customHeight="1" x14ac:dyDescent="0.3">
      <c r="A473" s="5"/>
      <c r="B473" s="5"/>
      <c r="C473" s="5"/>
      <c r="D473" s="5"/>
      <c r="F473" s="6"/>
      <c r="G473" s="4"/>
      <c r="H473" s="4"/>
      <c r="I473" s="4" t="str">
        <f t="shared" si="58"/>
        <v/>
      </c>
      <c r="BN473" s="7"/>
      <c r="BQ473" s="7"/>
    </row>
    <row r="474" spans="1:69" ht="15" customHeight="1" x14ac:dyDescent="0.3">
      <c r="A474" s="5"/>
      <c r="B474" s="5"/>
      <c r="C474" s="5"/>
      <c r="D474" s="5"/>
      <c r="F474" s="6"/>
      <c r="G474" s="4"/>
      <c r="H474" s="4"/>
      <c r="I474" s="4" t="str">
        <f t="shared" si="58"/>
        <v/>
      </c>
      <c r="BN474" s="7"/>
      <c r="BQ474" s="7"/>
    </row>
    <row r="475" spans="1:69" ht="15" customHeight="1" x14ac:dyDescent="0.3">
      <c r="A475" s="5"/>
      <c r="B475" s="5"/>
      <c r="C475" s="5"/>
      <c r="D475" s="5"/>
      <c r="F475" s="6"/>
      <c r="G475" s="4"/>
      <c r="H475" s="4"/>
      <c r="I475" s="4" t="str">
        <f t="shared" si="58"/>
        <v/>
      </c>
      <c r="BN475" s="7"/>
      <c r="BQ475" s="7"/>
    </row>
    <row r="476" spans="1:69" ht="15" customHeight="1" x14ac:dyDescent="0.3">
      <c r="A476" s="5"/>
      <c r="B476" s="5"/>
      <c r="C476" s="5"/>
      <c r="D476" s="5"/>
      <c r="F476" s="6"/>
      <c r="G476" s="4"/>
      <c r="H476" s="4"/>
      <c r="I476" s="4" t="str">
        <f t="shared" si="58"/>
        <v/>
      </c>
      <c r="BN476" s="7"/>
      <c r="BQ476" s="7"/>
    </row>
    <row r="477" spans="1:69" ht="15" customHeight="1" x14ac:dyDescent="0.3">
      <c r="A477" s="5"/>
      <c r="B477" s="5"/>
      <c r="C477" s="5"/>
      <c r="D477" s="5"/>
      <c r="F477" s="6"/>
      <c r="G477" s="4"/>
      <c r="H477" s="4"/>
      <c r="I477" s="4" t="str">
        <f t="shared" si="58"/>
        <v/>
      </c>
      <c r="BN477" s="7"/>
      <c r="BQ477" s="7"/>
    </row>
    <row r="478" spans="1:69" ht="15" customHeight="1" x14ac:dyDescent="0.3">
      <c r="A478" s="5"/>
      <c r="B478" s="5"/>
      <c r="C478" s="5"/>
      <c r="D478" s="5"/>
      <c r="F478" s="6"/>
      <c r="G478" s="4"/>
      <c r="H478" s="4"/>
      <c r="I478" s="4" t="str">
        <f t="shared" si="58"/>
        <v/>
      </c>
      <c r="BN478" s="7"/>
      <c r="BQ478" s="7"/>
    </row>
    <row r="479" spans="1:69" ht="15" customHeight="1" x14ac:dyDescent="0.3">
      <c r="A479" s="5"/>
      <c r="B479" s="5"/>
      <c r="C479" s="5"/>
      <c r="D479" s="5"/>
      <c r="F479" s="6"/>
      <c r="G479" s="4"/>
      <c r="H479" s="4"/>
      <c r="I479" s="4" t="str">
        <f t="shared" si="58"/>
        <v/>
      </c>
      <c r="BN479" s="7"/>
      <c r="BQ479" s="7"/>
    </row>
    <row r="480" spans="1:69" ht="15" customHeight="1" x14ac:dyDescent="0.3">
      <c r="A480" s="5"/>
      <c r="B480" s="5"/>
      <c r="C480" s="5"/>
      <c r="D480" s="5"/>
      <c r="F480" s="6"/>
      <c r="G480" s="4"/>
      <c r="H480" s="4"/>
      <c r="I480" s="4" t="str">
        <f t="shared" si="58"/>
        <v/>
      </c>
      <c r="BN480" s="7"/>
      <c r="BQ480" s="7"/>
    </row>
    <row r="481" spans="1:69" ht="15" customHeight="1" x14ac:dyDescent="0.3">
      <c r="A481" s="5"/>
      <c r="B481" s="5"/>
      <c r="C481" s="5"/>
      <c r="D481" s="5"/>
      <c r="F481" s="6"/>
      <c r="G481" s="4"/>
      <c r="H481" s="4"/>
      <c r="I481" s="4" t="str">
        <f t="shared" si="58"/>
        <v/>
      </c>
      <c r="BN481" s="7"/>
      <c r="BQ481" s="7"/>
    </row>
    <row r="482" spans="1:69" ht="15" customHeight="1" x14ac:dyDescent="0.3">
      <c r="A482" s="5"/>
      <c r="B482" s="5"/>
      <c r="C482" s="5"/>
      <c r="D482" s="5"/>
      <c r="F482" s="6"/>
      <c r="G482" s="4"/>
      <c r="H482" s="4"/>
      <c r="I482" s="4" t="str">
        <f t="shared" si="58"/>
        <v/>
      </c>
      <c r="BN482" s="7"/>
      <c r="BQ482" s="7"/>
    </row>
    <row r="483" spans="1:69" ht="15" customHeight="1" x14ac:dyDescent="0.3">
      <c r="A483" s="5"/>
      <c r="B483" s="5"/>
      <c r="C483" s="5"/>
      <c r="D483" s="5"/>
      <c r="F483" s="6"/>
      <c r="G483" s="4"/>
      <c r="H483" s="4"/>
      <c r="I483" s="4" t="str">
        <f t="shared" si="58"/>
        <v/>
      </c>
      <c r="BN483" s="7"/>
      <c r="BQ483" s="7"/>
    </row>
    <row r="484" spans="1:69" ht="15" customHeight="1" x14ac:dyDescent="0.3">
      <c r="A484" s="5"/>
      <c r="B484" s="5"/>
      <c r="C484" s="5"/>
      <c r="D484" s="5"/>
      <c r="F484" s="6"/>
      <c r="G484" s="4"/>
      <c r="H484" s="4"/>
      <c r="I484" s="4" t="str">
        <f t="shared" si="58"/>
        <v/>
      </c>
      <c r="BN484" s="7"/>
      <c r="BQ484" s="7"/>
    </row>
    <row r="485" spans="1:69" ht="15" customHeight="1" x14ac:dyDescent="0.3">
      <c r="A485" s="5"/>
      <c r="B485" s="5"/>
      <c r="C485" s="5"/>
      <c r="D485" s="5"/>
      <c r="F485" s="6"/>
      <c r="G485" s="4"/>
      <c r="H485" s="4"/>
      <c r="I485" s="4" t="str">
        <f t="shared" si="58"/>
        <v/>
      </c>
      <c r="BN485" s="7"/>
      <c r="BQ485" s="7"/>
    </row>
    <row r="486" spans="1:69" ht="15" customHeight="1" x14ac:dyDescent="0.3">
      <c r="A486" s="5"/>
      <c r="B486" s="5"/>
      <c r="C486" s="5"/>
      <c r="D486" s="5"/>
      <c r="F486" s="6"/>
      <c r="G486" s="4"/>
      <c r="H486" s="4"/>
      <c r="I486" s="4" t="str">
        <f t="shared" si="58"/>
        <v/>
      </c>
      <c r="BN486" s="7"/>
      <c r="BQ486" s="7"/>
    </row>
    <row r="487" spans="1:69" ht="15" customHeight="1" x14ac:dyDescent="0.3">
      <c r="A487" s="5"/>
      <c r="B487" s="5"/>
      <c r="C487" s="5"/>
      <c r="D487" s="5"/>
      <c r="F487" s="6"/>
      <c r="G487" s="4"/>
      <c r="H487" s="4"/>
      <c r="I487" s="4" t="str">
        <f t="shared" si="58"/>
        <v/>
      </c>
      <c r="BN487" s="7"/>
      <c r="BQ487" s="7"/>
    </row>
    <row r="488" spans="1:69" ht="15" customHeight="1" x14ac:dyDescent="0.3">
      <c r="A488" s="5"/>
      <c r="B488" s="5"/>
      <c r="C488" s="5"/>
      <c r="D488" s="5"/>
      <c r="F488" s="6"/>
      <c r="G488" s="4"/>
      <c r="H488" s="4"/>
      <c r="I488" s="4" t="str">
        <f t="shared" si="58"/>
        <v/>
      </c>
      <c r="BN488" s="7"/>
      <c r="BQ488" s="7"/>
    </row>
    <row r="489" spans="1:69" ht="15" customHeight="1" x14ac:dyDescent="0.3">
      <c r="A489" s="5"/>
      <c r="B489" s="5"/>
      <c r="C489" s="5"/>
      <c r="D489" s="5"/>
      <c r="F489" s="6"/>
      <c r="G489" s="4"/>
      <c r="H489" s="4"/>
      <c r="I489" s="4" t="str">
        <f t="shared" si="58"/>
        <v/>
      </c>
      <c r="BN489" s="7"/>
      <c r="BQ489" s="7"/>
    </row>
    <row r="490" spans="1:69" ht="15" customHeight="1" x14ac:dyDescent="0.3">
      <c r="A490" s="5"/>
      <c r="B490" s="5"/>
      <c r="C490" s="5"/>
      <c r="D490" s="5"/>
      <c r="F490" s="6"/>
      <c r="G490" s="4"/>
      <c r="H490" s="4"/>
      <c r="I490" s="4" t="str">
        <f t="shared" si="58"/>
        <v/>
      </c>
      <c r="BN490" s="7"/>
      <c r="BQ490" s="7"/>
    </row>
    <row r="491" spans="1:69" ht="15" customHeight="1" x14ac:dyDescent="0.3">
      <c r="A491" s="5"/>
      <c r="B491" s="5"/>
      <c r="C491" s="5"/>
      <c r="D491" s="5"/>
      <c r="F491" s="6"/>
      <c r="G491" s="4"/>
      <c r="H491" s="4"/>
      <c r="I491" s="4" t="str">
        <f t="shared" si="58"/>
        <v/>
      </c>
      <c r="BN491" s="7"/>
      <c r="BQ491" s="7"/>
    </row>
    <row r="492" spans="1:69" ht="15" customHeight="1" x14ac:dyDescent="0.3">
      <c r="A492" s="5"/>
      <c r="B492" s="5"/>
      <c r="C492" s="5"/>
      <c r="D492" s="5"/>
      <c r="F492" s="6"/>
      <c r="G492" s="4"/>
      <c r="H492" s="4"/>
      <c r="I492" s="4" t="str">
        <f t="shared" si="58"/>
        <v/>
      </c>
      <c r="BN492" s="7"/>
      <c r="BQ492" s="7"/>
    </row>
    <row r="493" spans="1:69" ht="15" customHeight="1" x14ac:dyDescent="0.3">
      <c r="A493" s="5"/>
      <c r="B493" s="5"/>
      <c r="C493" s="5"/>
      <c r="D493" s="5"/>
      <c r="F493" s="6"/>
      <c r="G493" s="4"/>
      <c r="H493" s="4"/>
      <c r="I493" s="4" t="str">
        <f t="shared" si="58"/>
        <v/>
      </c>
      <c r="BN493" s="7"/>
      <c r="BQ493" s="7"/>
    </row>
    <row r="494" spans="1:69" ht="15" customHeight="1" x14ac:dyDescent="0.3">
      <c r="A494" s="5"/>
      <c r="B494" s="5"/>
      <c r="C494" s="5"/>
      <c r="D494" s="5"/>
      <c r="F494" s="6"/>
      <c r="G494" s="4"/>
      <c r="H494" s="4"/>
      <c r="I494" s="4" t="str">
        <f t="shared" si="58"/>
        <v/>
      </c>
      <c r="BN494" s="7"/>
      <c r="BQ494" s="7"/>
    </row>
    <row r="495" spans="1:69" ht="15" customHeight="1" x14ac:dyDescent="0.3">
      <c r="A495" s="5"/>
      <c r="B495" s="5"/>
      <c r="C495" s="5"/>
      <c r="D495" s="5"/>
      <c r="F495" s="6"/>
      <c r="G495" s="4"/>
      <c r="H495" s="4"/>
      <c r="I495" s="4" t="str">
        <f t="shared" si="58"/>
        <v/>
      </c>
      <c r="BN495" s="7"/>
      <c r="BQ495" s="7"/>
    </row>
    <row r="496" spans="1:69" ht="15" customHeight="1" x14ac:dyDescent="0.3">
      <c r="A496" s="5"/>
      <c r="B496" s="5"/>
      <c r="C496" s="5"/>
      <c r="D496" s="5"/>
      <c r="F496" s="6"/>
      <c r="G496" s="4"/>
      <c r="H496" s="4"/>
      <c r="I496" s="4" t="str">
        <f t="shared" si="58"/>
        <v/>
      </c>
      <c r="BN496" s="7"/>
      <c r="BQ496" s="7"/>
    </row>
    <row r="497" spans="1:69" ht="15" customHeight="1" x14ac:dyDescent="0.3">
      <c r="A497" s="5"/>
      <c r="B497" s="5"/>
      <c r="C497" s="5"/>
      <c r="D497" s="5"/>
      <c r="F497" s="6"/>
      <c r="G497" s="4"/>
      <c r="H497" s="4"/>
      <c r="I497" s="4" t="str">
        <f t="shared" si="58"/>
        <v/>
      </c>
      <c r="BN497" s="7"/>
      <c r="BQ497" s="7"/>
    </row>
    <row r="498" spans="1:69" ht="15" customHeight="1" x14ac:dyDescent="0.3">
      <c r="A498" s="5"/>
      <c r="B498" s="5"/>
      <c r="C498" s="5"/>
      <c r="D498" s="5"/>
      <c r="F498" s="6"/>
      <c r="G498" s="4"/>
      <c r="H498" s="4"/>
      <c r="I498" s="4" t="str">
        <f t="shared" si="58"/>
        <v/>
      </c>
      <c r="BN498" s="7"/>
      <c r="BQ498" s="7"/>
    </row>
    <row r="499" spans="1:69" ht="15" customHeight="1" x14ac:dyDescent="0.3">
      <c r="A499" s="5"/>
      <c r="B499" s="5"/>
      <c r="C499" s="5"/>
      <c r="D499" s="5"/>
      <c r="F499" s="6"/>
      <c r="G499" s="4"/>
      <c r="H499" s="4"/>
      <c r="I499" s="4" t="str">
        <f t="shared" si="58"/>
        <v/>
      </c>
      <c r="BN499" s="7"/>
      <c r="BQ499" s="7"/>
    </row>
    <row r="500" spans="1:69" ht="15" customHeight="1" x14ac:dyDescent="0.3">
      <c r="A500" s="5"/>
      <c r="B500" s="5"/>
      <c r="C500" s="5"/>
      <c r="D500" s="5"/>
      <c r="F500" s="6"/>
      <c r="G500" s="4"/>
      <c r="H500" s="4"/>
      <c r="I500" s="4" t="str">
        <f t="shared" si="58"/>
        <v/>
      </c>
      <c r="BN500" s="7"/>
      <c r="BQ500" s="7"/>
    </row>
    <row r="501" spans="1:69" ht="15" customHeight="1" x14ac:dyDescent="0.3">
      <c r="A501" s="5"/>
      <c r="B501" s="5"/>
      <c r="C501" s="5"/>
      <c r="D501" s="5"/>
      <c r="F501" s="6"/>
      <c r="G501" s="4"/>
      <c r="H501" s="4"/>
      <c r="I501" s="4" t="str">
        <f t="shared" si="58"/>
        <v/>
      </c>
      <c r="BN501" s="7"/>
      <c r="BQ501" s="7"/>
    </row>
    <row r="502" spans="1:69" ht="15" customHeight="1" x14ac:dyDescent="0.3">
      <c r="A502" s="5"/>
      <c r="B502" s="5"/>
      <c r="C502" s="5"/>
      <c r="D502" s="5"/>
      <c r="F502" s="6"/>
      <c r="G502" s="4"/>
      <c r="H502" s="4"/>
      <c r="I502" s="4" t="str">
        <f t="shared" si="58"/>
        <v/>
      </c>
      <c r="BN502" s="7"/>
      <c r="BQ502" s="7"/>
    </row>
    <row r="503" spans="1:69" ht="15" customHeight="1" x14ac:dyDescent="0.3">
      <c r="A503" s="5"/>
      <c r="B503" s="5"/>
      <c r="C503" s="5"/>
      <c r="D503" s="5"/>
      <c r="F503" s="6"/>
      <c r="G503" s="4"/>
      <c r="H503" s="4"/>
      <c r="I503" s="4" t="str">
        <f t="shared" si="58"/>
        <v/>
      </c>
      <c r="BN503" s="7"/>
      <c r="BQ503" s="7"/>
    </row>
    <row r="504" spans="1:69" ht="15" customHeight="1" x14ac:dyDescent="0.3">
      <c r="A504" s="5"/>
      <c r="B504" s="5"/>
      <c r="C504" s="5"/>
      <c r="D504" s="5"/>
      <c r="F504" s="6"/>
      <c r="G504" s="4"/>
      <c r="H504" s="4"/>
      <c r="I504" s="4" t="str">
        <f t="shared" si="58"/>
        <v/>
      </c>
      <c r="BN504" s="7"/>
      <c r="BQ504" s="7"/>
    </row>
    <row r="505" spans="1:69" ht="15" customHeight="1" x14ac:dyDescent="0.3">
      <c r="A505" s="5"/>
      <c r="B505" s="5"/>
      <c r="C505" s="5"/>
      <c r="D505" s="5"/>
      <c r="F505" s="6"/>
      <c r="G505" s="4"/>
      <c r="H505" s="4"/>
      <c r="I505" s="4" t="str">
        <f t="shared" si="58"/>
        <v/>
      </c>
      <c r="BN505" s="7"/>
      <c r="BQ505" s="7"/>
    </row>
    <row r="506" spans="1:69" ht="15" customHeight="1" x14ac:dyDescent="0.3">
      <c r="A506" s="5"/>
      <c r="B506" s="5"/>
      <c r="C506" s="5"/>
      <c r="D506" s="5"/>
      <c r="F506" s="6"/>
      <c r="G506" s="4"/>
      <c r="H506" s="4"/>
      <c r="I506" s="4" t="str">
        <f t="shared" si="58"/>
        <v/>
      </c>
      <c r="BN506" s="7"/>
      <c r="BQ506" s="7"/>
    </row>
    <row r="507" spans="1:69" ht="15" customHeight="1" x14ac:dyDescent="0.3">
      <c r="A507" s="5"/>
      <c r="B507" s="5"/>
      <c r="C507" s="5"/>
      <c r="D507" s="5"/>
      <c r="F507" s="6"/>
      <c r="G507" s="4"/>
      <c r="H507" s="4"/>
      <c r="I507" s="4" t="str">
        <f t="shared" si="58"/>
        <v/>
      </c>
      <c r="BN507" s="7"/>
      <c r="BQ507" s="7"/>
    </row>
    <row r="508" spans="1:69" ht="15" customHeight="1" x14ac:dyDescent="0.3">
      <c r="A508" s="5"/>
      <c r="B508" s="5"/>
      <c r="C508" s="5"/>
      <c r="D508" s="5"/>
      <c r="F508" s="6"/>
      <c r="G508" s="4"/>
      <c r="H508" s="4"/>
      <c r="I508" s="4" t="str">
        <f t="shared" si="58"/>
        <v/>
      </c>
      <c r="BN508" s="7"/>
      <c r="BQ508" s="7"/>
    </row>
    <row r="509" spans="1:69" ht="15" customHeight="1" x14ac:dyDescent="0.3">
      <c r="A509" s="5"/>
      <c r="B509" s="5"/>
      <c r="C509" s="5"/>
      <c r="D509" s="5"/>
      <c r="F509" s="6"/>
      <c r="G509" s="4"/>
      <c r="H509" s="4"/>
      <c r="I509" s="4" t="str">
        <f t="shared" si="58"/>
        <v/>
      </c>
      <c r="BN509" s="7"/>
      <c r="BQ509" s="7"/>
    </row>
    <row r="510" spans="1:69" ht="15" customHeight="1" x14ac:dyDescent="0.3">
      <c r="A510" s="5"/>
      <c r="B510" s="5"/>
      <c r="C510" s="5"/>
      <c r="D510" s="5"/>
      <c r="F510" s="6"/>
      <c r="G510" s="4"/>
      <c r="H510" s="4"/>
      <c r="I510" s="4" t="str">
        <f t="shared" si="58"/>
        <v/>
      </c>
      <c r="BN510" s="7"/>
      <c r="BQ510" s="7"/>
    </row>
    <row r="511" spans="1:69" ht="15" customHeight="1" x14ac:dyDescent="0.3">
      <c r="A511" s="5"/>
      <c r="B511" s="5"/>
      <c r="C511" s="5"/>
      <c r="D511" s="5"/>
      <c r="F511" s="6"/>
      <c r="G511" s="4"/>
      <c r="H511" s="4"/>
      <c r="I511" s="4" t="str">
        <f t="shared" si="58"/>
        <v/>
      </c>
      <c r="BN511" s="7"/>
      <c r="BQ511" s="7"/>
    </row>
    <row r="512" spans="1:69" ht="15" customHeight="1" x14ac:dyDescent="0.3">
      <c r="A512" s="5"/>
      <c r="B512" s="5"/>
      <c r="C512" s="5"/>
      <c r="D512" s="5"/>
      <c r="F512" s="6"/>
      <c r="G512" s="4"/>
      <c r="H512" s="4"/>
      <c r="I512" s="4" t="str">
        <f t="shared" si="58"/>
        <v/>
      </c>
      <c r="BN512" s="7"/>
      <c r="BQ512" s="7"/>
    </row>
    <row r="513" spans="1:69" ht="15" customHeight="1" x14ac:dyDescent="0.3">
      <c r="A513" s="5"/>
      <c r="B513" s="5"/>
      <c r="C513" s="5"/>
      <c r="D513" s="5"/>
      <c r="F513" s="6"/>
      <c r="G513" s="4"/>
      <c r="H513" s="4"/>
      <c r="I513" s="4" t="str">
        <f t="shared" si="58"/>
        <v/>
      </c>
      <c r="BN513" s="7"/>
      <c r="BQ513" s="7"/>
    </row>
    <row r="514" spans="1:69" ht="15" customHeight="1" x14ac:dyDescent="0.3">
      <c r="A514" s="5"/>
      <c r="B514" s="5"/>
      <c r="C514" s="5"/>
      <c r="D514" s="5"/>
      <c r="F514" s="6"/>
      <c r="G514" s="4"/>
      <c r="H514" s="4"/>
      <c r="I514" s="4" t="str">
        <f t="shared" si="58"/>
        <v/>
      </c>
      <c r="BN514" s="7"/>
      <c r="BQ514" s="7"/>
    </row>
    <row r="515" spans="1:69" ht="15" customHeight="1" x14ac:dyDescent="0.3">
      <c r="A515" s="5"/>
      <c r="B515" s="5"/>
      <c r="C515" s="5"/>
      <c r="D515" s="5"/>
      <c r="F515" s="6"/>
      <c r="G515" s="4"/>
      <c r="H515" s="4"/>
      <c r="I515" s="4" t="str">
        <f t="shared" ref="I515:I578" si="59">IFERROR(MID(A515,FIND("Sorry, the entered Application Number",A515),68),"")</f>
        <v/>
      </c>
      <c r="BN515" s="7"/>
      <c r="BQ515" s="7"/>
    </row>
    <row r="516" spans="1:69" ht="15" customHeight="1" x14ac:dyDescent="0.3">
      <c r="A516" s="5"/>
      <c r="B516" s="5"/>
      <c r="C516" s="5"/>
      <c r="D516" s="5"/>
      <c r="F516" s="6"/>
      <c r="G516" s="4"/>
      <c r="H516" s="4"/>
      <c r="I516" s="4" t="str">
        <f t="shared" si="59"/>
        <v/>
      </c>
      <c r="BN516" s="7"/>
      <c r="BQ516" s="7"/>
    </row>
    <row r="517" spans="1:69" ht="15" customHeight="1" x14ac:dyDescent="0.3">
      <c r="A517" s="5"/>
      <c r="B517" s="5"/>
      <c r="C517" s="5"/>
      <c r="D517" s="5"/>
      <c r="F517" s="6"/>
      <c r="G517" s="4"/>
      <c r="H517" s="4"/>
      <c r="I517" s="4" t="str">
        <f t="shared" si="59"/>
        <v/>
      </c>
      <c r="BN517" s="7"/>
      <c r="BQ517" s="7"/>
    </row>
    <row r="518" spans="1:69" ht="15" customHeight="1" x14ac:dyDescent="0.3">
      <c r="A518" s="5"/>
      <c r="B518" s="5"/>
      <c r="C518" s="5"/>
      <c r="D518" s="5"/>
      <c r="F518" s="6"/>
      <c r="G518" s="4"/>
      <c r="H518" s="4"/>
      <c r="I518" s="4" t="str">
        <f t="shared" si="59"/>
        <v/>
      </c>
      <c r="BN518" s="7"/>
      <c r="BQ518" s="7"/>
    </row>
    <row r="519" spans="1:69" ht="15" customHeight="1" x14ac:dyDescent="0.3">
      <c r="A519" s="5"/>
      <c r="B519" s="5"/>
      <c r="C519" s="5"/>
      <c r="D519" s="5"/>
      <c r="F519" s="6"/>
      <c r="G519" s="4"/>
      <c r="H519" s="4"/>
      <c r="I519" s="4" t="str">
        <f t="shared" si="59"/>
        <v/>
      </c>
      <c r="BN519" s="7"/>
      <c r="BQ519" s="7"/>
    </row>
    <row r="520" spans="1:69" ht="15" customHeight="1" x14ac:dyDescent="0.3">
      <c r="A520" s="5"/>
      <c r="B520" s="5"/>
      <c r="C520" s="5"/>
      <c r="D520" s="5"/>
      <c r="F520" s="6"/>
      <c r="G520" s="4"/>
      <c r="H520" s="4"/>
      <c r="I520" s="4" t="str">
        <f t="shared" si="59"/>
        <v/>
      </c>
      <c r="BN520" s="7"/>
      <c r="BQ520" s="7"/>
    </row>
    <row r="521" spans="1:69" ht="15" customHeight="1" x14ac:dyDescent="0.3">
      <c r="A521" s="5"/>
      <c r="B521" s="5"/>
      <c r="C521" s="5"/>
      <c r="D521" s="5"/>
      <c r="F521" s="6"/>
      <c r="G521" s="4"/>
      <c r="H521" s="4"/>
      <c r="I521" s="4" t="str">
        <f t="shared" si="59"/>
        <v/>
      </c>
      <c r="BN521" s="7"/>
      <c r="BQ521" s="7"/>
    </row>
    <row r="522" spans="1:69" ht="15" customHeight="1" x14ac:dyDescent="0.3">
      <c r="A522" s="5"/>
      <c r="B522" s="5"/>
      <c r="C522" s="5"/>
      <c r="D522" s="5"/>
      <c r="F522" s="6"/>
      <c r="G522" s="4"/>
      <c r="H522" s="4"/>
      <c r="I522" s="4" t="str">
        <f t="shared" si="59"/>
        <v/>
      </c>
      <c r="BN522" s="7"/>
      <c r="BQ522" s="7"/>
    </row>
    <row r="523" spans="1:69" ht="15" customHeight="1" x14ac:dyDescent="0.3">
      <c r="A523" s="5"/>
      <c r="B523" s="5"/>
      <c r="C523" s="5"/>
      <c r="D523" s="5"/>
      <c r="F523" s="6"/>
      <c r="G523" s="4"/>
      <c r="H523" s="4"/>
      <c r="I523" s="4" t="str">
        <f t="shared" si="59"/>
        <v/>
      </c>
      <c r="BN523" s="7"/>
      <c r="BQ523" s="7"/>
    </row>
    <row r="524" spans="1:69" ht="15" customHeight="1" x14ac:dyDescent="0.3">
      <c r="A524" s="5"/>
      <c r="B524" s="5"/>
      <c r="C524" s="5"/>
      <c r="D524" s="5"/>
      <c r="F524" s="6"/>
      <c r="G524" s="4"/>
      <c r="H524" s="4"/>
      <c r="I524" s="4" t="str">
        <f t="shared" si="59"/>
        <v/>
      </c>
      <c r="BN524" s="7"/>
      <c r="BQ524" s="7"/>
    </row>
    <row r="525" spans="1:69" ht="15" customHeight="1" x14ac:dyDescent="0.3">
      <c r="A525" s="5"/>
      <c r="B525" s="5"/>
      <c r="C525" s="5"/>
      <c r="D525" s="5"/>
      <c r="F525" s="6"/>
      <c r="G525" s="4"/>
      <c r="H525" s="4"/>
      <c r="I525" s="4" t="str">
        <f t="shared" si="59"/>
        <v/>
      </c>
      <c r="BN525" s="7"/>
      <c r="BQ525" s="7"/>
    </row>
    <row r="526" spans="1:69" ht="15" customHeight="1" x14ac:dyDescent="0.3">
      <c r="A526" s="5"/>
      <c r="B526" s="5"/>
      <c r="C526" s="5"/>
      <c r="D526" s="5"/>
      <c r="F526" s="6"/>
      <c r="G526" s="4"/>
      <c r="H526" s="4"/>
      <c r="I526" s="4" t="str">
        <f t="shared" si="59"/>
        <v/>
      </c>
      <c r="BN526" s="7"/>
      <c r="BQ526" s="7"/>
    </row>
    <row r="527" spans="1:69" ht="15" customHeight="1" x14ac:dyDescent="0.3">
      <c r="A527" s="5"/>
      <c r="B527" s="5"/>
      <c r="C527" s="5"/>
      <c r="D527" s="5"/>
      <c r="F527" s="6"/>
      <c r="G527" s="4"/>
      <c r="H527" s="4"/>
      <c r="I527" s="4" t="str">
        <f t="shared" si="59"/>
        <v/>
      </c>
      <c r="BN527" s="7"/>
      <c r="BQ527" s="7"/>
    </row>
    <row r="528" spans="1:69" ht="15" customHeight="1" x14ac:dyDescent="0.3">
      <c r="A528" s="5"/>
      <c r="B528" s="5"/>
      <c r="C528" s="5"/>
      <c r="D528" s="5"/>
      <c r="F528" s="6"/>
      <c r="G528" s="4"/>
      <c r="H528" s="4"/>
      <c r="I528" s="4" t="str">
        <f t="shared" si="59"/>
        <v/>
      </c>
      <c r="BN528" s="7"/>
      <c r="BQ528" s="7"/>
    </row>
    <row r="529" spans="1:69" ht="15" customHeight="1" x14ac:dyDescent="0.3">
      <c r="A529" s="5"/>
      <c r="B529" s="5"/>
      <c r="C529" s="5"/>
      <c r="D529" s="5"/>
      <c r="F529" s="6"/>
      <c r="G529" s="4"/>
      <c r="H529" s="4"/>
      <c r="I529" s="4" t="str">
        <f t="shared" si="59"/>
        <v/>
      </c>
      <c r="BN529" s="7"/>
      <c r="BQ529" s="7"/>
    </row>
    <row r="530" spans="1:69" ht="15" customHeight="1" x14ac:dyDescent="0.3">
      <c r="A530" s="5"/>
      <c r="B530" s="5"/>
      <c r="C530" s="5"/>
      <c r="D530" s="5"/>
      <c r="F530" s="6"/>
      <c r="G530" s="4"/>
      <c r="H530" s="4"/>
      <c r="I530" s="4" t="str">
        <f t="shared" si="59"/>
        <v/>
      </c>
      <c r="BN530" s="7"/>
      <c r="BQ530" s="7"/>
    </row>
    <row r="531" spans="1:69" ht="15" customHeight="1" x14ac:dyDescent="0.3">
      <c r="A531" s="5"/>
      <c r="B531" s="5"/>
      <c r="C531" s="5"/>
      <c r="D531" s="5"/>
      <c r="F531" s="6"/>
      <c r="G531" s="4"/>
      <c r="H531" s="4"/>
      <c r="I531" s="4" t="str">
        <f t="shared" si="59"/>
        <v/>
      </c>
      <c r="BN531" s="7"/>
      <c r="BQ531" s="7"/>
    </row>
    <row r="532" spans="1:69" ht="15" customHeight="1" x14ac:dyDescent="0.3">
      <c r="A532" s="5"/>
      <c r="B532" s="5"/>
      <c r="C532" s="5"/>
      <c r="D532" s="5"/>
      <c r="F532" s="6"/>
      <c r="G532" s="4"/>
      <c r="H532" s="4"/>
      <c r="I532" s="4" t="str">
        <f t="shared" si="59"/>
        <v/>
      </c>
      <c r="BN532" s="7"/>
      <c r="BQ532" s="7"/>
    </row>
    <row r="533" spans="1:69" ht="15" customHeight="1" x14ac:dyDescent="0.3">
      <c r="A533" s="5"/>
      <c r="B533" s="5"/>
      <c r="C533" s="5"/>
      <c r="D533" s="5"/>
      <c r="F533" s="6"/>
      <c r="G533" s="4"/>
      <c r="H533" s="4"/>
      <c r="I533" s="4" t="str">
        <f t="shared" si="59"/>
        <v/>
      </c>
      <c r="BN533" s="7"/>
      <c r="BQ533" s="7"/>
    </row>
    <row r="534" spans="1:69" ht="15" customHeight="1" x14ac:dyDescent="0.3">
      <c r="A534" s="5"/>
      <c r="B534" s="5"/>
      <c r="C534" s="5"/>
      <c r="D534" s="5"/>
      <c r="F534" s="6"/>
      <c r="G534" s="4"/>
      <c r="H534" s="4"/>
      <c r="I534" s="4" t="str">
        <f t="shared" si="59"/>
        <v/>
      </c>
      <c r="BN534" s="7"/>
      <c r="BQ534" s="7"/>
    </row>
    <row r="535" spans="1:69" ht="15" customHeight="1" x14ac:dyDescent="0.3">
      <c r="A535" s="5"/>
      <c r="B535" s="5"/>
      <c r="C535" s="5"/>
      <c r="D535" s="5"/>
      <c r="F535" s="6"/>
      <c r="G535" s="4"/>
      <c r="H535" s="4"/>
      <c r="I535" s="4" t="str">
        <f t="shared" si="59"/>
        <v/>
      </c>
      <c r="BN535" s="7"/>
      <c r="BQ535" s="7"/>
    </row>
    <row r="536" spans="1:69" ht="15" customHeight="1" x14ac:dyDescent="0.3">
      <c r="A536" s="5"/>
      <c r="B536" s="5"/>
      <c r="C536" s="5"/>
      <c r="D536" s="5"/>
      <c r="F536" s="6"/>
      <c r="G536" s="4"/>
      <c r="H536" s="4"/>
      <c r="I536" s="4" t="str">
        <f t="shared" si="59"/>
        <v/>
      </c>
      <c r="BN536" s="7"/>
      <c r="BQ536" s="7"/>
    </row>
    <row r="537" spans="1:69" ht="15" customHeight="1" x14ac:dyDescent="0.3">
      <c r="A537" s="5"/>
      <c r="B537" s="5"/>
      <c r="C537" s="5"/>
      <c r="D537" s="5"/>
      <c r="F537" s="6"/>
      <c r="G537" s="4"/>
      <c r="H537" s="4"/>
      <c r="I537" s="4" t="str">
        <f t="shared" si="59"/>
        <v/>
      </c>
      <c r="BN537" s="7"/>
      <c r="BQ537" s="7"/>
    </row>
    <row r="538" spans="1:69" ht="15" customHeight="1" x14ac:dyDescent="0.3">
      <c r="A538" s="5"/>
      <c r="B538" s="5"/>
      <c r="C538" s="5"/>
      <c r="D538" s="5"/>
      <c r="F538" s="6"/>
      <c r="G538" s="4"/>
      <c r="H538" s="4"/>
      <c r="I538" s="4" t="str">
        <f t="shared" si="59"/>
        <v/>
      </c>
      <c r="BN538" s="7"/>
      <c r="BQ538" s="7"/>
    </row>
    <row r="539" spans="1:69" ht="15" customHeight="1" x14ac:dyDescent="0.3">
      <c r="A539" s="5"/>
      <c r="B539" s="5"/>
      <c r="C539" s="5"/>
      <c r="D539" s="5"/>
      <c r="F539" s="6"/>
      <c r="G539" s="4"/>
      <c r="H539" s="4"/>
      <c r="I539" s="4" t="str">
        <f t="shared" si="59"/>
        <v/>
      </c>
      <c r="BN539" s="7"/>
      <c r="BQ539" s="7"/>
    </row>
    <row r="540" spans="1:69" ht="15" customHeight="1" x14ac:dyDescent="0.3">
      <c r="A540" s="5"/>
      <c r="B540" s="5"/>
      <c r="C540" s="5"/>
      <c r="D540" s="5"/>
      <c r="F540" s="6"/>
      <c r="G540" s="4"/>
      <c r="H540" s="4"/>
      <c r="I540" s="4" t="str">
        <f t="shared" si="59"/>
        <v/>
      </c>
      <c r="BN540" s="7"/>
      <c r="BQ540" s="7"/>
    </row>
    <row r="541" spans="1:69" ht="15" customHeight="1" x14ac:dyDescent="0.3">
      <c r="A541" s="5"/>
      <c r="B541" s="5"/>
      <c r="C541" s="5"/>
      <c r="D541" s="5"/>
      <c r="F541" s="6"/>
      <c r="G541" s="4"/>
      <c r="H541" s="4"/>
      <c r="I541" s="4" t="str">
        <f t="shared" si="59"/>
        <v/>
      </c>
      <c r="BN541" s="7"/>
      <c r="BQ541" s="7"/>
    </row>
    <row r="542" spans="1:69" ht="15" customHeight="1" x14ac:dyDescent="0.3">
      <c r="A542" s="5"/>
      <c r="B542" s="5"/>
      <c r="C542" s="5"/>
      <c r="D542" s="5"/>
      <c r="F542" s="6"/>
      <c r="G542" s="4"/>
      <c r="H542" s="4"/>
      <c r="I542" s="4" t="str">
        <f t="shared" si="59"/>
        <v/>
      </c>
      <c r="BN542" s="7"/>
      <c r="BQ542" s="7"/>
    </row>
    <row r="543" spans="1:69" ht="15" customHeight="1" x14ac:dyDescent="0.3">
      <c r="A543" s="5"/>
      <c r="B543" s="5"/>
      <c r="C543" s="5"/>
      <c r="D543" s="5"/>
      <c r="F543" s="6"/>
      <c r="G543" s="4"/>
      <c r="H543" s="4"/>
      <c r="I543" s="4" t="str">
        <f t="shared" si="59"/>
        <v/>
      </c>
      <c r="BN543" s="7"/>
      <c r="BQ543" s="7"/>
    </row>
    <row r="544" spans="1:69" ht="15" customHeight="1" x14ac:dyDescent="0.3">
      <c r="A544" s="5"/>
      <c r="B544" s="5"/>
      <c r="C544" s="5"/>
      <c r="D544" s="5"/>
      <c r="F544" s="6"/>
      <c r="G544" s="4"/>
      <c r="H544" s="4"/>
      <c r="I544" s="4" t="str">
        <f t="shared" si="59"/>
        <v/>
      </c>
      <c r="BN544" s="7"/>
      <c r="BQ544" s="7"/>
    </row>
    <row r="545" spans="1:69" ht="15" customHeight="1" x14ac:dyDescent="0.3">
      <c r="A545" s="5"/>
      <c r="B545" s="5"/>
      <c r="C545" s="5"/>
      <c r="D545" s="5"/>
      <c r="F545" s="6"/>
      <c r="G545" s="4"/>
      <c r="H545" s="4"/>
      <c r="I545" s="4" t="str">
        <f t="shared" si="59"/>
        <v/>
      </c>
      <c r="BN545" s="7"/>
      <c r="BQ545" s="7"/>
    </row>
    <row r="546" spans="1:69" ht="15" customHeight="1" x14ac:dyDescent="0.3">
      <c r="A546" s="5"/>
      <c r="B546" s="5"/>
      <c r="C546" s="5"/>
      <c r="D546" s="5"/>
      <c r="F546" s="6"/>
      <c r="G546" s="4"/>
      <c r="H546" s="4"/>
      <c r="I546" s="4" t="str">
        <f t="shared" si="59"/>
        <v/>
      </c>
      <c r="BN546" s="7"/>
      <c r="BQ546" s="7"/>
    </row>
    <row r="547" spans="1:69" ht="15" customHeight="1" x14ac:dyDescent="0.3">
      <c r="A547" s="5"/>
      <c r="B547" s="5"/>
      <c r="C547" s="5"/>
      <c r="D547" s="5"/>
      <c r="F547" s="6"/>
      <c r="G547" s="4"/>
      <c r="H547" s="4"/>
      <c r="I547" s="4" t="str">
        <f t="shared" si="59"/>
        <v/>
      </c>
      <c r="BN547" s="7"/>
      <c r="BQ547" s="7"/>
    </row>
    <row r="548" spans="1:69" ht="15" customHeight="1" x14ac:dyDescent="0.3">
      <c r="A548" s="5"/>
      <c r="B548" s="5"/>
      <c r="C548" s="5"/>
      <c r="D548" s="5"/>
      <c r="F548" s="6"/>
      <c r="G548" s="4"/>
      <c r="H548" s="4"/>
      <c r="I548" s="4" t="str">
        <f t="shared" si="59"/>
        <v/>
      </c>
      <c r="BN548" s="7"/>
      <c r="BQ548" s="7"/>
    </row>
    <row r="549" spans="1:69" ht="15" customHeight="1" x14ac:dyDescent="0.3">
      <c r="A549" s="5"/>
      <c r="B549" s="5"/>
      <c r="C549" s="5"/>
      <c r="D549" s="5"/>
      <c r="F549" s="6"/>
      <c r="G549" s="4"/>
      <c r="H549" s="4"/>
      <c r="I549" s="4" t="str">
        <f t="shared" si="59"/>
        <v/>
      </c>
      <c r="BN549" s="7"/>
      <c r="BQ549" s="7"/>
    </row>
    <row r="550" spans="1:69" ht="15" customHeight="1" x14ac:dyDescent="0.3">
      <c r="A550" s="5"/>
      <c r="B550" s="5"/>
      <c r="C550" s="5"/>
      <c r="D550" s="5"/>
      <c r="F550" s="6"/>
      <c r="G550" s="4"/>
      <c r="H550" s="4"/>
      <c r="I550" s="4" t="str">
        <f t="shared" si="59"/>
        <v/>
      </c>
      <c r="BN550" s="7"/>
      <c r="BQ550" s="7"/>
    </row>
    <row r="551" spans="1:69" ht="15" customHeight="1" x14ac:dyDescent="0.3">
      <c r="A551" s="5"/>
      <c r="B551" s="5"/>
      <c r="C551" s="5"/>
      <c r="D551" s="5"/>
      <c r="F551" s="6"/>
      <c r="G551" s="4"/>
      <c r="H551" s="4"/>
      <c r="I551" s="4" t="str">
        <f t="shared" si="59"/>
        <v/>
      </c>
      <c r="BN551" s="7"/>
      <c r="BQ551" s="7"/>
    </row>
    <row r="552" spans="1:69" ht="15" customHeight="1" x14ac:dyDescent="0.3">
      <c r="A552" s="5"/>
      <c r="B552" s="5"/>
      <c r="C552" s="5"/>
      <c r="D552" s="5"/>
      <c r="F552" s="6"/>
      <c r="G552" s="4"/>
      <c r="H552" s="4"/>
      <c r="I552" s="4" t="str">
        <f t="shared" si="59"/>
        <v/>
      </c>
      <c r="BN552" s="7"/>
      <c r="BQ552" s="7"/>
    </row>
    <row r="553" spans="1:69" ht="15" customHeight="1" x14ac:dyDescent="0.3">
      <c r="A553" s="5"/>
      <c r="B553" s="5"/>
      <c r="C553" s="5"/>
      <c r="D553" s="5"/>
      <c r="F553" s="6"/>
      <c r="G553" s="4"/>
      <c r="H553" s="4"/>
      <c r="I553" s="4" t="str">
        <f t="shared" si="59"/>
        <v/>
      </c>
      <c r="BN553" s="7"/>
      <c r="BQ553" s="7"/>
    </row>
    <row r="554" spans="1:69" ht="15" customHeight="1" x14ac:dyDescent="0.3">
      <c r="A554" s="5"/>
      <c r="B554" s="5"/>
      <c r="C554" s="5"/>
      <c r="D554" s="5"/>
      <c r="F554" s="6"/>
      <c r="G554" s="4"/>
      <c r="H554" s="4"/>
      <c r="I554" s="4" t="str">
        <f t="shared" si="59"/>
        <v/>
      </c>
      <c r="BN554" s="7"/>
      <c r="BQ554" s="7"/>
    </row>
    <row r="555" spans="1:69" ht="15" customHeight="1" x14ac:dyDescent="0.3">
      <c r="A555" s="5"/>
      <c r="B555" s="5"/>
      <c r="C555" s="5"/>
      <c r="D555" s="5"/>
      <c r="F555" s="6"/>
      <c r="G555" s="4"/>
      <c r="H555" s="4"/>
      <c r="I555" s="4" t="str">
        <f t="shared" si="59"/>
        <v/>
      </c>
      <c r="BN555" s="7"/>
      <c r="BQ555" s="7"/>
    </row>
    <row r="556" spans="1:69" ht="15" customHeight="1" x14ac:dyDescent="0.3">
      <c r="A556" s="5"/>
      <c r="B556" s="5"/>
      <c r="C556" s="5"/>
      <c r="D556" s="5"/>
      <c r="F556" s="6"/>
      <c r="G556" s="4"/>
      <c r="H556" s="4"/>
      <c r="I556" s="4" t="str">
        <f t="shared" si="59"/>
        <v/>
      </c>
      <c r="BN556" s="7"/>
      <c r="BQ556" s="7"/>
    </row>
    <row r="557" spans="1:69" ht="15" customHeight="1" x14ac:dyDescent="0.3">
      <c r="A557" s="5"/>
      <c r="B557" s="5"/>
      <c r="C557" s="5"/>
      <c r="D557" s="5"/>
      <c r="F557" s="6"/>
      <c r="G557" s="4"/>
      <c r="H557" s="4"/>
      <c r="I557" s="4" t="str">
        <f t="shared" si="59"/>
        <v/>
      </c>
      <c r="BN557" s="7"/>
      <c r="BQ557" s="7"/>
    </row>
    <row r="558" spans="1:69" ht="15" customHeight="1" x14ac:dyDescent="0.3">
      <c r="A558" s="5"/>
      <c r="B558" s="5"/>
      <c r="C558" s="5"/>
      <c r="D558" s="5"/>
      <c r="F558" s="6"/>
      <c r="G558" s="4"/>
      <c r="H558" s="4"/>
      <c r="I558" s="4" t="str">
        <f t="shared" si="59"/>
        <v/>
      </c>
      <c r="BN558" s="7"/>
      <c r="BQ558" s="7"/>
    </row>
    <row r="559" spans="1:69" ht="15" customHeight="1" x14ac:dyDescent="0.3">
      <c r="A559" s="5"/>
      <c r="B559" s="5"/>
      <c r="C559" s="5"/>
      <c r="D559" s="5"/>
      <c r="F559" s="6"/>
      <c r="G559" s="4"/>
      <c r="H559" s="4"/>
      <c r="I559" s="4" t="str">
        <f t="shared" si="59"/>
        <v/>
      </c>
      <c r="BN559" s="7"/>
      <c r="BQ559" s="7"/>
    </row>
    <row r="560" spans="1:69" ht="15" customHeight="1" x14ac:dyDescent="0.3">
      <c r="A560" s="5"/>
      <c r="B560" s="5"/>
      <c r="C560" s="5"/>
      <c r="D560" s="5"/>
      <c r="F560" s="6"/>
      <c r="G560" s="4"/>
      <c r="H560" s="4"/>
      <c r="I560" s="4" t="str">
        <f t="shared" si="59"/>
        <v/>
      </c>
      <c r="BN560" s="7"/>
      <c r="BQ560" s="7"/>
    </row>
    <row r="561" spans="1:69" ht="15" customHeight="1" x14ac:dyDescent="0.3">
      <c r="A561" s="5"/>
      <c r="B561" s="5"/>
      <c r="C561" s="5"/>
      <c r="D561" s="5"/>
      <c r="F561" s="6"/>
      <c r="G561" s="4"/>
      <c r="H561" s="4"/>
      <c r="I561" s="4" t="str">
        <f t="shared" si="59"/>
        <v/>
      </c>
      <c r="BN561" s="7"/>
      <c r="BQ561" s="7"/>
    </row>
    <row r="562" spans="1:69" ht="15" customHeight="1" x14ac:dyDescent="0.3">
      <c r="A562" s="5"/>
      <c r="B562" s="5"/>
      <c r="C562" s="5"/>
      <c r="D562" s="5"/>
      <c r="F562" s="6"/>
      <c r="G562" s="4"/>
      <c r="H562" s="4"/>
      <c r="I562" s="4" t="str">
        <f t="shared" si="59"/>
        <v/>
      </c>
      <c r="BN562" s="7"/>
      <c r="BQ562" s="7"/>
    </row>
    <row r="563" spans="1:69" ht="15" customHeight="1" x14ac:dyDescent="0.3">
      <c r="A563" s="5"/>
      <c r="B563" s="5"/>
      <c r="C563" s="5"/>
      <c r="D563" s="5"/>
      <c r="F563" s="6"/>
      <c r="G563" s="4"/>
      <c r="H563" s="4"/>
      <c r="I563" s="4" t="str">
        <f t="shared" si="59"/>
        <v/>
      </c>
      <c r="BN563" s="7"/>
      <c r="BQ563" s="7"/>
    </row>
    <row r="564" spans="1:69" ht="15" customHeight="1" x14ac:dyDescent="0.3">
      <c r="A564" s="5"/>
      <c r="B564" s="5"/>
      <c r="C564" s="5"/>
      <c r="D564" s="5"/>
      <c r="F564" s="6"/>
      <c r="G564" s="4"/>
      <c r="H564" s="4"/>
      <c r="I564" s="4" t="str">
        <f t="shared" si="59"/>
        <v/>
      </c>
      <c r="BN564" s="7"/>
      <c r="BQ564" s="7"/>
    </row>
    <row r="565" spans="1:69" ht="15" customHeight="1" x14ac:dyDescent="0.3">
      <c r="A565" s="5"/>
      <c r="B565" s="5"/>
      <c r="C565" s="5"/>
      <c r="D565" s="5"/>
      <c r="F565" s="6"/>
      <c r="G565" s="4"/>
      <c r="H565" s="4"/>
      <c r="I565" s="4" t="str">
        <f t="shared" si="59"/>
        <v/>
      </c>
      <c r="BN565" s="7"/>
      <c r="BQ565" s="7"/>
    </row>
    <row r="566" spans="1:69" ht="15" customHeight="1" x14ac:dyDescent="0.3">
      <c r="A566" s="5"/>
      <c r="B566" s="5"/>
      <c r="C566" s="5"/>
      <c r="D566" s="5"/>
      <c r="F566" s="6"/>
      <c r="G566" s="4"/>
      <c r="H566" s="4"/>
      <c r="I566" s="4" t="str">
        <f t="shared" si="59"/>
        <v/>
      </c>
      <c r="BN566" s="7"/>
      <c r="BQ566" s="7"/>
    </row>
    <row r="567" spans="1:69" ht="15" customHeight="1" x14ac:dyDescent="0.3">
      <c r="A567" s="5"/>
      <c r="B567" s="5"/>
      <c r="C567" s="5"/>
      <c r="D567" s="5"/>
      <c r="F567" s="6"/>
      <c r="G567" s="4"/>
      <c r="H567" s="4"/>
      <c r="I567" s="4" t="str">
        <f t="shared" si="59"/>
        <v/>
      </c>
      <c r="BN567" s="7"/>
      <c r="BQ567" s="7"/>
    </row>
    <row r="568" spans="1:69" ht="15" customHeight="1" x14ac:dyDescent="0.3">
      <c r="A568" s="5"/>
      <c r="B568" s="5"/>
      <c r="C568" s="5"/>
      <c r="D568" s="5"/>
      <c r="F568" s="6"/>
      <c r="G568" s="4"/>
      <c r="H568" s="4"/>
      <c r="I568" s="4" t="str">
        <f t="shared" si="59"/>
        <v/>
      </c>
      <c r="BN568" s="7"/>
      <c r="BQ568" s="7"/>
    </row>
    <row r="569" spans="1:69" ht="15" customHeight="1" x14ac:dyDescent="0.3">
      <c r="A569" s="5"/>
      <c r="B569" s="5"/>
      <c r="C569" s="5"/>
      <c r="D569" s="5"/>
      <c r="F569" s="6"/>
      <c r="G569" s="4"/>
      <c r="H569" s="4"/>
      <c r="I569" s="4" t="str">
        <f t="shared" si="59"/>
        <v/>
      </c>
      <c r="BN569" s="7"/>
      <c r="BQ569" s="7"/>
    </row>
    <row r="570" spans="1:69" ht="15" customHeight="1" x14ac:dyDescent="0.3">
      <c r="A570" s="5"/>
      <c r="B570" s="5"/>
      <c r="C570" s="5"/>
      <c r="D570" s="5"/>
      <c r="F570" s="6"/>
      <c r="G570" s="4"/>
      <c r="H570" s="4"/>
      <c r="I570" s="4" t="str">
        <f t="shared" si="59"/>
        <v/>
      </c>
      <c r="BN570" s="7"/>
      <c r="BQ570" s="7"/>
    </row>
    <row r="571" spans="1:69" ht="15" customHeight="1" x14ac:dyDescent="0.3">
      <c r="A571" s="5"/>
      <c r="B571" s="5"/>
      <c r="C571" s="5"/>
      <c r="D571" s="5"/>
      <c r="F571" s="6"/>
      <c r="G571" s="4"/>
      <c r="H571" s="4"/>
      <c r="I571" s="4" t="str">
        <f t="shared" si="59"/>
        <v/>
      </c>
      <c r="BN571" s="7"/>
      <c r="BQ571" s="7"/>
    </row>
    <row r="572" spans="1:69" ht="15" customHeight="1" x14ac:dyDescent="0.3">
      <c r="A572" s="5"/>
      <c r="B572" s="5"/>
      <c r="C572" s="5"/>
      <c r="D572" s="5"/>
      <c r="F572" s="6"/>
      <c r="G572" s="4"/>
      <c r="H572" s="4"/>
      <c r="I572" s="4" t="str">
        <f t="shared" si="59"/>
        <v/>
      </c>
      <c r="BN572" s="7"/>
      <c r="BQ572" s="7"/>
    </row>
    <row r="573" spans="1:69" ht="15" customHeight="1" x14ac:dyDescent="0.3">
      <c r="A573" s="5"/>
      <c r="B573" s="5"/>
      <c r="C573" s="5"/>
      <c r="D573" s="5"/>
      <c r="F573" s="6"/>
      <c r="G573" s="4"/>
      <c r="H573" s="4"/>
      <c r="I573" s="4" t="str">
        <f t="shared" si="59"/>
        <v/>
      </c>
      <c r="BN573" s="7"/>
      <c r="BQ573" s="7"/>
    </row>
    <row r="574" spans="1:69" ht="15" customHeight="1" x14ac:dyDescent="0.3">
      <c r="A574" s="5"/>
      <c r="B574" s="5"/>
      <c r="C574" s="5"/>
      <c r="D574" s="5"/>
      <c r="F574" s="6"/>
      <c r="G574" s="4"/>
      <c r="H574" s="4"/>
      <c r="I574" s="4" t="str">
        <f t="shared" si="59"/>
        <v/>
      </c>
      <c r="BN574" s="7"/>
      <c r="BQ574" s="7"/>
    </row>
    <row r="575" spans="1:69" ht="15" customHeight="1" x14ac:dyDescent="0.3">
      <c r="A575" s="5"/>
      <c r="B575" s="5"/>
      <c r="C575" s="5"/>
      <c r="D575" s="5"/>
      <c r="F575" s="6"/>
      <c r="G575" s="4"/>
      <c r="H575" s="4"/>
      <c r="I575" s="4" t="str">
        <f t="shared" si="59"/>
        <v/>
      </c>
      <c r="BN575" s="7"/>
      <c r="BQ575" s="7"/>
    </row>
    <row r="576" spans="1:69" ht="15" customHeight="1" x14ac:dyDescent="0.3">
      <c r="A576" s="5"/>
      <c r="B576" s="5"/>
      <c r="C576" s="5"/>
      <c r="D576" s="5"/>
      <c r="F576" s="6"/>
      <c r="G576" s="4"/>
      <c r="H576" s="4"/>
      <c r="I576" s="4" t="str">
        <f t="shared" si="59"/>
        <v/>
      </c>
      <c r="BN576" s="7"/>
      <c r="BQ576" s="7"/>
    </row>
    <row r="577" spans="1:69" ht="15" customHeight="1" x14ac:dyDescent="0.3">
      <c r="A577" s="5"/>
      <c r="B577" s="5"/>
      <c r="C577" s="5"/>
      <c r="D577" s="5"/>
      <c r="F577" s="6"/>
      <c r="G577" s="4"/>
      <c r="H577" s="4"/>
      <c r="I577" s="4" t="str">
        <f t="shared" si="59"/>
        <v/>
      </c>
      <c r="BN577" s="7"/>
      <c r="BQ577" s="7"/>
    </row>
    <row r="578" spans="1:69" ht="15" customHeight="1" x14ac:dyDescent="0.3">
      <c r="A578" s="5"/>
      <c r="B578" s="5"/>
      <c r="C578" s="5"/>
      <c r="D578" s="5"/>
      <c r="F578" s="6"/>
      <c r="G578" s="4"/>
      <c r="H578" s="4"/>
      <c r="I578" s="4" t="str">
        <f t="shared" si="59"/>
        <v/>
      </c>
      <c r="BN578" s="7"/>
      <c r="BQ578" s="7"/>
    </row>
    <row r="579" spans="1:69" ht="15" customHeight="1" x14ac:dyDescent="0.3">
      <c r="A579" s="5"/>
      <c r="B579" s="5"/>
      <c r="C579" s="5"/>
      <c r="D579" s="5"/>
      <c r="F579" s="6"/>
      <c r="G579" s="4"/>
      <c r="H579" s="4"/>
      <c r="I579" s="4" t="str">
        <f t="shared" ref="I579:I642" si="60">IFERROR(MID(A579,FIND("Sorry, the entered Application Number",A579),68),"")</f>
        <v/>
      </c>
      <c r="BN579" s="7"/>
      <c r="BQ579" s="7"/>
    </row>
    <row r="580" spans="1:69" ht="15" customHeight="1" x14ac:dyDescent="0.3">
      <c r="A580" s="5"/>
      <c r="B580" s="5"/>
      <c r="C580" s="5"/>
      <c r="D580" s="5"/>
      <c r="F580" s="6"/>
      <c r="G580" s="4"/>
      <c r="H580" s="4"/>
      <c r="I580" s="4" t="str">
        <f t="shared" si="60"/>
        <v/>
      </c>
      <c r="BN580" s="7"/>
      <c r="BQ580" s="7"/>
    </row>
    <row r="581" spans="1:69" ht="15" customHeight="1" x14ac:dyDescent="0.3">
      <c r="A581" s="5"/>
      <c r="B581" s="5"/>
      <c r="C581" s="5"/>
      <c r="D581" s="5"/>
      <c r="F581" s="6"/>
      <c r="G581" s="4"/>
      <c r="H581" s="4"/>
      <c r="I581" s="4" t="str">
        <f t="shared" si="60"/>
        <v/>
      </c>
      <c r="BN581" s="7"/>
      <c r="BQ581" s="7"/>
    </row>
    <row r="582" spans="1:69" ht="15" customHeight="1" x14ac:dyDescent="0.3">
      <c r="A582" s="5"/>
      <c r="B582" s="5"/>
      <c r="C582" s="5"/>
      <c r="D582" s="5"/>
      <c r="F582" s="6"/>
      <c r="G582" s="4"/>
      <c r="H582" s="4"/>
      <c r="I582" s="4" t="str">
        <f t="shared" si="60"/>
        <v/>
      </c>
      <c r="BN582" s="7"/>
      <c r="BQ582" s="7"/>
    </row>
    <row r="583" spans="1:69" ht="15" customHeight="1" x14ac:dyDescent="0.3">
      <c r="A583" s="5"/>
      <c r="B583" s="5"/>
      <c r="C583" s="5"/>
      <c r="D583" s="5"/>
      <c r="F583" s="6"/>
      <c r="G583" s="4"/>
      <c r="H583" s="4"/>
      <c r="I583" s="4" t="str">
        <f t="shared" si="60"/>
        <v/>
      </c>
      <c r="BN583" s="7"/>
      <c r="BQ583" s="7"/>
    </row>
    <row r="584" spans="1:69" ht="15" customHeight="1" x14ac:dyDescent="0.3">
      <c r="A584" s="5"/>
      <c r="B584" s="5"/>
      <c r="C584" s="5"/>
      <c r="D584" s="5"/>
      <c r="F584" s="6"/>
      <c r="G584" s="4"/>
      <c r="H584" s="4"/>
      <c r="I584" s="4" t="str">
        <f t="shared" si="60"/>
        <v/>
      </c>
      <c r="BN584" s="7"/>
      <c r="BQ584" s="7"/>
    </row>
    <row r="585" spans="1:69" ht="15" customHeight="1" x14ac:dyDescent="0.3">
      <c r="A585" s="5"/>
      <c r="B585" s="5"/>
      <c r="C585" s="5"/>
      <c r="D585" s="5"/>
      <c r="F585" s="6"/>
      <c r="G585" s="4"/>
      <c r="H585" s="4"/>
      <c r="I585" s="4" t="str">
        <f t="shared" si="60"/>
        <v/>
      </c>
      <c r="BN585" s="7"/>
      <c r="BQ585" s="7"/>
    </row>
    <row r="586" spans="1:69" ht="15" customHeight="1" x14ac:dyDescent="0.3">
      <c r="A586" s="5"/>
      <c r="B586" s="5"/>
      <c r="C586" s="5"/>
      <c r="D586" s="5"/>
      <c r="F586" s="6"/>
      <c r="G586" s="4"/>
      <c r="H586" s="4"/>
      <c r="I586" s="4" t="str">
        <f t="shared" si="60"/>
        <v/>
      </c>
      <c r="BN586" s="7"/>
      <c r="BQ586" s="7"/>
    </row>
    <row r="587" spans="1:69" ht="15" customHeight="1" x14ac:dyDescent="0.3">
      <c r="A587" s="5"/>
      <c r="B587" s="5"/>
      <c r="C587" s="5"/>
      <c r="D587" s="5"/>
      <c r="F587" s="6"/>
      <c r="G587" s="4"/>
      <c r="H587" s="4"/>
      <c r="I587" s="4" t="str">
        <f t="shared" si="60"/>
        <v/>
      </c>
      <c r="BN587" s="7"/>
      <c r="BQ587" s="7"/>
    </row>
    <row r="588" spans="1:69" ht="15" customHeight="1" x14ac:dyDescent="0.3">
      <c r="A588" s="5"/>
      <c r="B588" s="5"/>
      <c r="C588" s="5"/>
      <c r="D588" s="5"/>
      <c r="F588" s="6"/>
      <c r="G588" s="4"/>
      <c r="H588" s="4"/>
      <c r="I588" s="4" t="str">
        <f t="shared" si="60"/>
        <v/>
      </c>
      <c r="BN588" s="7"/>
      <c r="BQ588" s="7"/>
    </row>
    <row r="589" spans="1:69" ht="15" customHeight="1" x14ac:dyDescent="0.3">
      <c r="A589" s="5"/>
      <c r="B589" s="5"/>
      <c r="C589" s="5"/>
      <c r="D589" s="5"/>
      <c r="F589" s="6"/>
      <c r="G589" s="4"/>
      <c r="H589" s="4"/>
      <c r="I589" s="4" t="str">
        <f t="shared" si="60"/>
        <v/>
      </c>
      <c r="BN589" s="7"/>
      <c r="BQ589" s="7"/>
    </row>
    <row r="590" spans="1:69" ht="15" customHeight="1" x14ac:dyDescent="0.3">
      <c r="A590" s="5"/>
      <c r="B590" s="5"/>
      <c r="C590" s="5"/>
      <c r="D590" s="5"/>
      <c r="F590" s="6"/>
      <c r="G590" s="4"/>
      <c r="H590" s="4"/>
      <c r="I590" s="4" t="str">
        <f t="shared" si="60"/>
        <v/>
      </c>
      <c r="BN590" s="7"/>
      <c r="BQ590" s="7"/>
    </row>
    <row r="591" spans="1:69" ht="15" customHeight="1" x14ac:dyDescent="0.3">
      <c r="A591" s="5"/>
      <c r="B591" s="5"/>
      <c r="C591" s="5"/>
      <c r="D591" s="5"/>
      <c r="F591" s="6"/>
      <c r="G591" s="4"/>
      <c r="H591" s="4"/>
      <c r="I591" s="4" t="str">
        <f t="shared" si="60"/>
        <v/>
      </c>
      <c r="BN591" s="7"/>
      <c r="BQ591" s="7"/>
    </row>
    <row r="592" spans="1:69" ht="15" customHeight="1" x14ac:dyDescent="0.3">
      <c r="A592" s="5"/>
      <c r="B592" s="5"/>
      <c r="C592" s="5"/>
      <c r="D592" s="5"/>
      <c r="F592" s="6"/>
      <c r="G592" s="4"/>
      <c r="H592" s="4"/>
      <c r="I592" s="4" t="str">
        <f t="shared" si="60"/>
        <v/>
      </c>
      <c r="BN592" s="7"/>
      <c r="BQ592" s="7"/>
    </row>
    <row r="593" spans="1:69" ht="15" customHeight="1" x14ac:dyDescent="0.3">
      <c r="A593" s="5"/>
      <c r="B593" s="5"/>
      <c r="C593" s="5"/>
      <c r="D593" s="5"/>
      <c r="F593" s="6"/>
      <c r="G593" s="4"/>
      <c r="H593" s="4"/>
      <c r="I593" s="4" t="str">
        <f t="shared" si="60"/>
        <v/>
      </c>
      <c r="BN593" s="7"/>
      <c r="BQ593" s="7"/>
    </row>
    <row r="594" spans="1:69" ht="15" customHeight="1" x14ac:dyDescent="0.3">
      <c r="A594" s="5"/>
      <c r="B594" s="5"/>
      <c r="C594" s="5"/>
      <c r="D594" s="5"/>
      <c r="F594" s="6"/>
      <c r="G594" s="4"/>
      <c r="H594" s="4"/>
      <c r="I594" s="4" t="str">
        <f t="shared" si="60"/>
        <v/>
      </c>
      <c r="BN594" s="7"/>
      <c r="BQ594" s="7"/>
    </row>
    <row r="595" spans="1:69" ht="15" customHeight="1" x14ac:dyDescent="0.3">
      <c r="A595" s="5"/>
      <c r="B595" s="5"/>
      <c r="C595" s="5"/>
      <c r="D595" s="5"/>
      <c r="F595" s="6"/>
      <c r="G595" s="4"/>
      <c r="H595" s="4"/>
      <c r="I595" s="4" t="str">
        <f t="shared" si="60"/>
        <v/>
      </c>
      <c r="BN595" s="7"/>
      <c r="BQ595" s="7"/>
    </row>
    <row r="596" spans="1:69" ht="15" customHeight="1" x14ac:dyDescent="0.3">
      <c r="A596" s="5"/>
      <c r="B596" s="5"/>
      <c r="C596" s="5"/>
      <c r="D596" s="5"/>
      <c r="F596" s="6"/>
      <c r="G596" s="4"/>
      <c r="H596" s="4"/>
      <c r="I596" s="4" t="str">
        <f t="shared" si="60"/>
        <v/>
      </c>
      <c r="BN596" s="7"/>
      <c r="BQ596" s="7"/>
    </row>
    <row r="597" spans="1:69" ht="15" customHeight="1" x14ac:dyDescent="0.3">
      <c r="A597" s="5"/>
      <c r="B597" s="5"/>
      <c r="C597" s="5"/>
      <c r="D597" s="5"/>
      <c r="F597" s="6"/>
      <c r="G597" s="4"/>
      <c r="H597" s="4"/>
      <c r="I597" s="4" t="str">
        <f t="shared" si="60"/>
        <v/>
      </c>
      <c r="BN597" s="7"/>
      <c r="BQ597" s="7"/>
    </row>
    <row r="598" spans="1:69" ht="15" customHeight="1" x14ac:dyDescent="0.3">
      <c r="A598" s="5"/>
      <c r="B598" s="5"/>
      <c r="C598" s="5"/>
      <c r="D598" s="5"/>
      <c r="F598" s="6"/>
      <c r="G598" s="4"/>
      <c r="H598" s="4"/>
      <c r="I598" s="4" t="str">
        <f t="shared" si="60"/>
        <v/>
      </c>
      <c r="BN598" s="7"/>
      <c r="BQ598" s="7"/>
    </row>
    <row r="599" spans="1:69" ht="15" customHeight="1" x14ac:dyDescent="0.3">
      <c r="A599" s="5"/>
      <c r="B599" s="5"/>
      <c r="C599" s="5"/>
      <c r="D599" s="5"/>
      <c r="F599" s="6"/>
      <c r="G599" s="4"/>
      <c r="H599" s="4"/>
      <c r="I599" s="4" t="str">
        <f t="shared" si="60"/>
        <v/>
      </c>
      <c r="BN599" s="7"/>
      <c r="BQ599" s="7"/>
    </row>
    <row r="600" spans="1:69" ht="15" customHeight="1" x14ac:dyDescent="0.3">
      <c r="A600" s="5"/>
      <c r="B600" s="5"/>
      <c r="C600" s="5"/>
      <c r="D600" s="5"/>
      <c r="F600" s="6"/>
      <c r="G600" s="4"/>
      <c r="H600" s="4"/>
      <c r="I600" s="4" t="str">
        <f t="shared" si="60"/>
        <v/>
      </c>
      <c r="BN600" s="7"/>
      <c r="BQ600" s="7"/>
    </row>
    <row r="601" spans="1:69" ht="15" customHeight="1" x14ac:dyDescent="0.3">
      <c r="A601" s="5"/>
      <c r="B601" s="5"/>
      <c r="C601" s="5"/>
      <c r="D601" s="5"/>
      <c r="F601" s="6"/>
      <c r="G601" s="4"/>
      <c r="H601" s="4"/>
      <c r="I601" s="4" t="str">
        <f t="shared" si="60"/>
        <v/>
      </c>
      <c r="BN601" s="7"/>
      <c r="BQ601" s="7"/>
    </row>
    <row r="602" spans="1:69" ht="15" customHeight="1" x14ac:dyDescent="0.3">
      <c r="A602" s="5"/>
      <c r="B602" s="5"/>
      <c r="C602" s="5"/>
      <c r="D602" s="5"/>
      <c r="F602" s="6"/>
      <c r="G602" s="4"/>
      <c r="H602" s="4"/>
      <c r="I602" s="4" t="str">
        <f t="shared" si="60"/>
        <v/>
      </c>
      <c r="BN602" s="7"/>
      <c r="BQ602" s="7"/>
    </row>
    <row r="603" spans="1:69" ht="15" customHeight="1" x14ac:dyDescent="0.3">
      <c r="A603" s="5"/>
      <c r="B603" s="5"/>
      <c r="C603" s="5"/>
      <c r="D603" s="5"/>
      <c r="F603" s="6"/>
      <c r="G603" s="4"/>
      <c r="H603" s="4"/>
      <c r="I603" s="4" t="str">
        <f t="shared" si="60"/>
        <v/>
      </c>
      <c r="BN603" s="7"/>
      <c r="BQ603" s="7"/>
    </row>
    <row r="604" spans="1:69" ht="15" customHeight="1" x14ac:dyDescent="0.3">
      <c r="A604" s="5"/>
      <c r="B604" s="5"/>
      <c r="C604" s="5"/>
      <c r="D604" s="5"/>
      <c r="F604" s="6"/>
      <c r="G604" s="4"/>
      <c r="H604" s="4"/>
      <c r="I604" s="4" t="str">
        <f t="shared" si="60"/>
        <v/>
      </c>
      <c r="BN604" s="7"/>
      <c r="BQ604" s="7"/>
    </row>
    <row r="605" spans="1:69" ht="15" customHeight="1" x14ac:dyDescent="0.3">
      <c r="A605" s="5"/>
      <c r="B605" s="5"/>
      <c r="C605" s="5"/>
      <c r="D605" s="5"/>
      <c r="F605" s="6"/>
      <c r="G605" s="4"/>
      <c r="H605" s="4"/>
      <c r="I605" s="4" t="str">
        <f t="shared" si="60"/>
        <v/>
      </c>
      <c r="BN605" s="7"/>
      <c r="BQ605" s="7"/>
    </row>
    <row r="606" spans="1:69" ht="15" customHeight="1" x14ac:dyDescent="0.3">
      <c r="A606" s="5"/>
      <c r="B606" s="5"/>
      <c r="C606" s="5"/>
      <c r="D606" s="5"/>
      <c r="F606" s="6"/>
      <c r="G606" s="4"/>
      <c r="H606" s="4"/>
      <c r="I606" s="4" t="str">
        <f t="shared" si="60"/>
        <v/>
      </c>
      <c r="BN606" s="7"/>
      <c r="BQ606" s="7"/>
    </row>
    <row r="607" spans="1:69" ht="15" customHeight="1" x14ac:dyDescent="0.3">
      <c r="A607" s="5"/>
      <c r="B607" s="5"/>
      <c r="C607" s="5"/>
      <c r="D607" s="5"/>
      <c r="F607" s="6"/>
      <c r="G607" s="4"/>
      <c r="H607" s="4"/>
      <c r="I607" s="4" t="str">
        <f t="shared" si="60"/>
        <v/>
      </c>
      <c r="BN607" s="7"/>
      <c r="BQ607" s="7"/>
    </row>
    <row r="608" spans="1:69" ht="15" customHeight="1" x14ac:dyDescent="0.3">
      <c r="A608" s="5"/>
      <c r="B608" s="5"/>
      <c r="C608" s="5"/>
      <c r="D608" s="5"/>
      <c r="F608" s="6"/>
      <c r="G608" s="4"/>
      <c r="H608" s="4"/>
      <c r="I608" s="4" t="str">
        <f t="shared" si="60"/>
        <v/>
      </c>
      <c r="BN608" s="7"/>
      <c r="BQ608" s="7"/>
    </row>
    <row r="609" spans="1:69" ht="15" customHeight="1" x14ac:dyDescent="0.3">
      <c r="A609" s="5"/>
      <c r="B609" s="5"/>
      <c r="C609" s="5"/>
      <c r="D609" s="5"/>
      <c r="F609" s="6"/>
      <c r="G609" s="4"/>
      <c r="H609" s="4"/>
      <c r="I609" s="4" t="str">
        <f t="shared" si="60"/>
        <v/>
      </c>
      <c r="BN609" s="7"/>
      <c r="BQ609" s="7"/>
    </row>
    <row r="610" spans="1:69" ht="15" customHeight="1" x14ac:dyDescent="0.3">
      <c r="A610" s="5"/>
      <c r="B610" s="5"/>
      <c r="C610" s="5"/>
      <c r="D610" s="5"/>
      <c r="F610" s="6"/>
      <c r="G610" s="4"/>
      <c r="H610" s="4"/>
      <c r="I610" s="4" t="str">
        <f t="shared" si="60"/>
        <v/>
      </c>
      <c r="BN610" s="7"/>
      <c r="BQ610" s="7"/>
    </row>
    <row r="611" spans="1:69" ht="15" customHeight="1" x14ac:dyDescent="0.3">
      <c r="A611" s="5"/>
      <c r="B611" s="5"/>
      <c r="C611" s="5"/>
      <c r="D611" s="5"/>
      <c r="F611" s="6"/>
      <c r="G611" s="4"/>
      <c r="H611" s="4"/>
      <c r="I611" s="4" t="str">
        <f t="shared" si="60"/>
        <v/>
      </c>
      <c r="BN611" s="7"/>
      <c r="BQ611" s="7"/>
    </row>
    <row r="612" spans="1:69" ht="15" customHeight="1" x14ac:dyDescent="0.3">
      <c r="A612" s="5"/>
      <c r="B612" s="5"/>
      <c r="C612" s="5"/>
      <c r="D612" s="5"/>
      <c r="F612" s="6"/>
      <c r="G612" s="4"/>
      <c r="H612" s="4"/>
      <c r="I612" s="4" t="str">
        <f t="shared" si="60"/>
        <v/>
      </c>
      <c r="BN612" s="7"/>
      <c r="BQ612" s="7"/>
    </row>
    <row r="613" spans="1:69" ht="15" customHeight="1" x14ac:dyDescent="0.3">
      <c r="A613" s="5"/>
      <c r="B613" s="5"/>
      <c r="C613" s="5"/>
      <c r="D613" s="5"/>
      <c r="F613" s="6"/>
      <c r="G613" s="4"/>
      <c r="H613" s="4"/>
      <c r="I613" s="4" t="str">
        <f t="shared" si="60"/>
        <v/>
      </c>
      <c r="BN613" s="7"/>
      <c r="BQ613" s="7"/>
    </row>
    <row r="614" spans="1:69" ht="15" customHeight="1" x14ac:dyDescent="0.3">
      <c r="A614" s="5"/>
      <c r="B614" s="5"/>
      <c r="C614" s="5"/>
      <c r="D614" s="5"/>
      <c r="F614" s="6"/>
      <c r="G614" s="4"/>
      <c r="H614" s="4"/>
      <c r="I614" s="4" t="str">
        <f t="shared" si="60"/>
        <v/>
      </c>
      <c r="BN614" s="7"/>
      <c r="BQ614" s="7"/>
    </row>
    <row r="615" spans="1:69" ht="15" customHeight="1" x14ac:dyDescent="0.3">
      <c r="A615" s="5"/>
      <c r="B615" s="5"/>
      <c r="C615" s="5"/>
      <c r="D615" s="5"/>
      <c r="F615" s="6"/>
      <c r="G615" s="4"/>
      <c r="H615" s="4"/>
      <c r="I615" s="4" t="str">
        <f t="shared" si="60"/>
        <v/>
      </c>
      <c r="BN615" s="7"/>
      <c r="BQ615" s="7"/>
    </row>
    <row r="616" spans="1:69" ht="15" customHeight="1" x14ac:dyDescent="0.3">
      <c r="A616" s="5"/>
      <c r="B616" s="5"/>
      <c r="C616" s="5"/>
      <c r="D616" s="5"/>
      <c r="F616" s="6"/>
      <c r="G616" s="4"/>
      <c r="H616" s="4"/>
      <c r="I616" s="4" t="str">
        <f t="shared" si="60"/>
        <v/>
      </c>
      <c r="BN616" s="7"/>
      <c r="BQ616" s="7"/>
    </row>
    <row r="617" spans="1:69" ht="15" customHeight="1" x14ac:dyDescent="0.3">
      <c r="A617" s="5"/>
      <c r="B617" s="5"/>
      <c r="C617" s="5"/>
      <c r="D617" s="5"/>
      <c r="F617" s="6"/>
      <c r="G617" s="4"/>
      <c r="H617" s="4"/>
      <c r="I617" s="4" t="str">
        <f t="shared" si="60"/>
        <v/>
      </c>
      <c r="BN617" s="7"/>
      <c r="BQ617" s="7"/>
    </row>
    <row r="618" spans="1:69" ht="15" customHeight="1" x14ac:dyDescent="0.3">
      <c r="A618" s="5"/>
      <c r="B618" s="5"/>
      <c r="C618" s="5"/>
      <c r="D618" s="5"/>
      <c r="F618" s="6"/>
      <c r="G618" s="4"/>
      <c r="H618" s="4"/>
      <c r="I618" s="4" t="str">
        <f t="shared" si="60"/>
        <v/>
      </c>
      <c r="BN618" s="7"/>
      <c r="BQ618" s="7"/>
    </row>
    <row r="619" spans="1:69" ht="15" customHeight="1" x14ac:dyDescent="0.3">
      <c r="A619" s="5"/>
      <c r="B619" s="5"/>
      <c r="C619" s="5"/>
      <c r="D619" s="5"/>
      <c r="F619" s="6"/>
      <c r="G619" s="4"/>
      <c r="H619" s="4"/>
      <c r="I619" s="4" t="str">
        <f t="shared" si="60"/>
        <v/>
      </c>
      <c r="BN619" s="7"/>
      <c r="BQ619" s="7"/>
    </row>
    <row r="620" spans="1:69" ht="15" customHeight="1" x14ac:dyDescent="0.3">
      <c r="A620" s="5"/>
      <c r="B620" s="5"/>
      <c r="C620" s="5"/>
      <c r="D620" s="5"/>
      <c r="F620" s="6"/>
      <c r="G620" s="4"/>
      <c r="H620" s="4"/>
      <c r="I620" s="4" t="str">
        <f t="shared" si="60"/>
        <v/>
      </c>
      <c r="BN620" s="7"/>
      <c r="BQ620" s="7"/>
    </row>
    <row r="621" spans="1:69" ht="15" customHeight="1" x14ac:dyDescent="0.3">
      <c r="A621" s="5"/>
      <c r="B621" s="5"/>
      <c r="C621" s="5"/>
      <c r="D621" s="5"/>
      <c r="F621" s="6"/>
      <c r="G621" s="4"/>
      <c r="H621" s="4"/>
      <c r="I621" s="4" t="str">
        <f t="shared" si="60"/>
        <v/>
      </c>
      <c r="BN621" s="7"/>
      <c r="BQ621" s="7"/>
    </row>
    <row r="622" spans="1:69" ht="15" customHeight="1" x14ac:dyDescent="0.3">
      <c r="A622" s="5"/>
      <c r="B622" s="5"/>
      <c r="C622" s="5"/>
      <c r="D622" s="5"/>
      <c r="F622" s="6"/>
      <c r="G622" s="4"/>
      <c r="H622" s="4"/>
      <c r="I622" s="4" t="str">
        <f t="shared" si="60"/>
        <v/>
      </c>
      <c r="BN622" s="7"/>
      <c r="BQ622" s="7"/>
    </row>
    <row r="623" spans="1:69" ht="15" customHeight="1" x14ac:dyDescent="0.3">
      <c r="A623" s="5"/>
      <c r="B623" s="5"/>
      <c r="C623" s="5"/>
      <c r="D623" s="5"/>
      <c r="F623" s="6"/>
      <c r="G623" s="4"/>
      <c r="H623" s="4"/>
      <c r="I623" s="4" t="str">
        <f t="shared" si="60"/>
        <v/>
      </c>
      <c r="BN623" s="7"/>
      <c r="BQ623" s="7"/>
    </row>
    <row r="624" spans="1:69" ht="15" customHeight="1" x14ac:dyDescent="0.3">
      <c r="A624" s="5"/>
      <c r="B624" s="5"/>
      <c r="C624" s="5"/>
      <c r="D624" s="5"/>
      <c r="F624" s="6"/>
      <c r="G624" s="4"/>
      <c r="H624" s="4"/>
      <c r="I624" s="4" t="str">
        <f t="shared" si="60"/>
        <v/>
      </c>
      <c r="BN624" s="7"/>
      <c r="BQ624" s="7"/>
    </row>
    <row r="625" spans="1:69" ht="15" customHeight="1" x14ac:dyDescent="0.3">
      <c r="A625" s="5"/>
      <c r="B625" s="5"/>
      <c r="C625" s="5"/>
      <c r="D625" s="5"/>
      <c r="F625" s="6"/>
      <c r="G625" s="4"/>
      <c r="H625" s="4"/>
      <c r="I625" s="4" t="str">
        <f t="shared" si="60"/>
        <v/>
      </c>
      <c r="BN625" s="7"/>
      <c r="BQ625" s="7"/>
    </row>
    <row r="626" spans="1:69" ht="15" customHeight="1" x14ac:dyDescent="0.3">
      <c r="A626" s="5"/>
      <c r="B626" s="5"/>
      <c r="C626" s="5"/>
      <c r="D626" s="5"/>
      <c r="F626" s="6"/>
      <c r="G626" s="4"/>
      <c r="H626" s="4"/>
      <c r="I626" s="4" t="str">
        <f t="shared" si="60"/>
        <v/>
      </c>
      <c r="BN626" s="7"/>
      <c r="BQ626" s="7"/>
    </row>
    <row r="627" spans="1:69" ht="15" customHeight="1" x14ac:dyDescent="0.3">
      <c r="A627" s="5"/>
      <c r="B627" s="5"/>
      <c r="C627" s="5"/>
      <c r="D627" s="5"/>
      <c r="F627" s="6"/>
      <c r="G627" s="4"/>
      <c r="H627" s="4"/>
      <c r="I627" s="4" t="str">
        <f t="shared" si="60"/>
        <v/>
      </c>
      <c r="BN627" s="7"/>
      <c r="BQ627" s="7"/>
    </row>
    <row r="628" spans="1:69" ht="15" customHeight="1" x14ac:dyDescent="0.3">
      <c r="A628" s="5"/>
      <c r="B628" s="5"/>
      <c r="C628" s="5"/>
      <c r="D628" s="5"/>
      <c r="F628" s="6"/>
      <c r="G628" s="4"/>
      <c r="H628" s="4"/>
      <c r="I628" s="4" t="str">
        <f t="shared" si="60"/>
        <v/>
      </c>
      <c r="BN628" s="7"/>
      <c r="BQ628" s="7"/>
    </row>
    <row r="629" spans="1:69" ht="15" customHeight="1" x14ac:dyDescent="0.3">
      <c r="A629" s="5"/>
      <c r="B629" s="5"/>
      <c r="C629" s="5"/>
      <c r="D629" s="5"/>
      <c r="F629" s="6"/>
      <c r="G629" s="4"/>
      <c r="H629" s="4"/>
      <c r="I629" s="4" t="str">
        <f t="shared" si="60"/>
        <v/>
      </c>
      <c r="BN629" s="7"/>
      <c r="BQ629" s="7"/>
    </row>
    <row r="630" spans="1:69" ht="15" customHeight="1" x14ac:dyDescent="0.3">
      <c r="A630" s="5"/>
      <c r="B630" s="5"/>
      <c r="C630" s="5"/>
      <c r="D630" s="5"/>
      <c r="F630" s="6"/>
      <c r="G630" s="4"/>
      <c r="H630" s="4"/>
      <c r="I630" s="4" t="str">
        <f t="shared" si="60"/>
        <v/>
      </c>
      <c r="BN630" s="7"/>
      <c r="BQ630" s="7"/>
    </row>
    <row r="631" spans="1:69" ht="15" customHeight="1" x14ac:dyDescent="0.3">
      <c r="A631" s="5"/>
      <c r="B631" s="5"/>
      <c r="C631" s="5"/>
      <c r="D631" s="5"/>
      <c r="F631" s="6"/>
      <c r="G631" s="4"/>
      <c r="H631" s="4"/>
      <c r="I631" s="4" t="str">
        <f t="shared" si="60"/>
        <v/>
      </c>
      <c r="BN631" s="7"/>
      <c r="BQ631" s="7"/>
    </row>
    <row r="632" spans="1:69" ht="15" customHeight="1" x14ac:dyDescent="0.3">
      <c r="A632" s="5"/>
      <c r="B632" s="5"/>
      <c r="C632" s="5"/>
      <c r="D632" s="5"/>
      <c r="F632" s="6"/>
      <c r="G632" s="4"/>
      <c r="H632" s="4"/>
      <c r="I632" s="4" t="str">
        <f t="shared" si="60"/>
        <v/>
      </c>
      <c r="BN632" s="7"/>
      <c r="BQ632" s="7"/>
    </row>
    <row r="633" spans="1:69" ht="15" customHeight="1" x14ac:dyDescent="0.3">
      <c r="A633" s="5"/>
      <c r="B633" s="5"/>
      <c r="C633" s="5"/>
      <c r="D633" s="5"/>
      <c r="F633" s="6"/>
      <c r="G633" s="4"/>
      <c r="H633" s="4"/>
      <c r="I633" s="4" t="str">
        <f t="shared" si="60"/>
        <v/>
      </c>
      <c r="BN633" s="7"/>
      <c r="BQ633" s="7"/>
    </row>
    <row r="634" spans="1:69" ht="15" customHeight="1" x14ac:dyDescent="0.3">
      <c r="A634" s="5"/>
      <c r="B634" s="5"/>
      <c r="C634" s="5"/>
      <c r="D634" s="5"/>
      <c r="F634" s="6"/>
      <c r="G634" s="4"/>
      <c r="H634" s="4"/>
      <c r="I634" s="4" t="str">
        <f t="shared" si="60"/>
        <v/>
      </c>
      <c r="BN634" s="7"/>
      <c r="BQ634" s="7"/>
    </row>
    <row r="635" spans="1:69" ht="15" customHeight="1" x14ac:dyDescent="0.3">
      <c r="A635" s="5"/>
      <c r="B635" s="5"/>
      <c r="C635" s="5"/>
      <c r="D635" s="5"/>
      <c r="F635" s="6"/>
      <c r="G635" s="4"/>
      <c r="H635" s="4"/>
      <c r="I635" s="4" t="str">
        <f t="shared" si="60"/>
        <v/>
      </c>
      <c r="BN635" s="7"/>
      <c r="BQ635" s="7"/>
    </row>
    <row r="636" spans="1:69" ht="15" customHeight="1" x14ac:dyDescent="0.3">
      <c r="A636" s="5"/>
      <c r="B636" s="5"/>
      <c r="C636" s="5"/>
      <c r="D636" s="5"/>
      <c r="F636" s="6"/>
      <c r="G636" s="4"/>
      <c r="H636" s="4"/>
      <c r="I636" s="4" t="str">
        <f t="shared" si="60"/>
        <v/>
      </c>
      <c r="BN636" s="7"/>
      <c r="BQ636" s="7"/>
    </row>
    <row r="637" spans="1:69" ht="15" customHeight="1" x14ac:dyDescent="0.3">
      <c r="A637" s="5"/>
      <c r="B637" s="5"/>
      <c r="C637" s="5"/>
      <c r="D637" s="5"/>
      <c r="F637" s="6"/>
      <c r="G637" s="4"/>
      <c r="H637" s="4"/>
      <c r="I637" s="4" t="str">
        <f t="shared" si="60"/>
        <v/>
      </c>
      <c r="BN637" s="7"/>
      <c r="BQ637" s="7"/>
    </row>
    <row r="638" spans="1:69" ht="15" customHeight="1" x14ac:dyDescent="0.3">
      <c r="A638" s="5"/>
      <c r="B638" s="5"/>
      <c r="C638" s="5"/>
      <c r="D638" s="5"/>
      <c r="F638" s="6"/>
      <c r="G638" s="4"/>
      <c r="H638" s="4"/>
      <c r="I638" s="4" t="str">
        <f t="shared" si="60"/>
        <v/>
      </c>
      <c r="BN638" s="7"/>
      <c r="BQ638" s="7"/>
    </row>
    <row r="639" spans="1:69" ht="15" customHeight="1" x14ac:dyDescent="0.3">
      <c r="A639" s="5"/>
      <c r="B639" s="5"/>
      <c r="C639" s="5"/>
      <c r="D639" s="5"/>
      <c r="F639" s="6"/>
      <c r="G639" s="4"/>
      <c r="H639" s="4"/>
      <c r="I639" s="4" t="str">
        <f t="shared" si="60"/>
        <v/>
      </c>
      <c r="BN639" s="7"/>
      <c r="BQ639" s="7"/>
    </row>
    <row r="640" spans="1:69" ht="15" customHeight="1" x14ac:dyDescent="0.3">
      <c r="A640" s="5"/>
      <c r="B640" s="5"/>
      <c r="C640" s="5"/>
      <c r="D640" s="5"/>
      <c r="F640" s="6"/>
      <c r="G640" s="4"/>
      <c r="H640" s="4"/>
      <c r="I640" s="4" t="str">
        <f t="shared" si="60"/>
        <v/>
      </c>
      <c r="BN640" s="7"/>
      <c r="BQ640" s="7"/>
    </row>
    <row r="641" spans="1:69" ht="15" customHeight="1" x14ac:dyDescent="0.3">
      <c r="A641" s="5"/>
      <c r="B641" s="5"/>
      <c r="C641" s="5"/>
      <c r="D641" s="5"/>
      <c r="F641" s="6"/>
      <c r="G641" s="4"/>
      <c r="H641" s="4"/>
      <c r="I641" s="4" t="str">
        <f t="shared" si="60"/>
        <v/>
      </c>
      <c r="BN641" s="7"/>
      <c r="BQ641" s="7"/>
    </row>
    <row r="642" spans="1:69" ht="15" customHeight="1" x14ac:dyDescent="0.3">
      <c r="A642" s="5"/>
      <c r="B642" s="5"/>
      <c r="C642" s="5"/>
      <c r="D642" s="5"/>
      <c r="F642" s="6"/>
      <c r="G642" s="4"/>
      <c r="H642" s="4"/>
      <c r="I642" s="4" t="str">
        <f t="shared" si="60"/>
        <v/>
      </c>
      <c r="BN642" s="7"/>
      <c r="BQ642" s="7"/>
    </row>
    <row r="643" spans="1:69" ht="15" customHeight="1" x14ac:dyDescent="0.3">
      <c r="A643" s="5"/>
      <c r="B643" s="5"/>
      <c r="C643" s="5"/>
      <c r="D643" s="5"/>
      <c r="F643" s="6"/>
      <c r="G643" s="4"/>
      <c r="H643" s="4"/>
      <c r="I643" s="4" t="str">
        <f t="shared" ref="I643:I706" si="61">IFERROR(MID(A643,FIND("Sorry, the entered Application Number",A643),68),"")</f>
        <v/>
      </c>
      <c r="BN643" s="7"/>
      <c r="BQ643" s="7"/>
    </row>
    <row r="644" spans="1:69" ht="15" customHeight="1" x14ac:dyDescent="0.3">
      <c r="A644" s="5"/>
      <c r="B644" s="5"/>
      <c r="C644" s="5"/>
      <c r="D644" s="5"/>
      <c r="F644" s="6"/>
      <c r="G644" s="4"/>
      <c r="H644" s="4"/>
      <c r="I644" s="4" t="str">
        <f t="shared" si="61"/>
        <v/>
      </c>
      <c r="BN644" s="7"/>
      <c r="BQ644" s="7"/>
    </row>
    <row r="645" spans="1:69" ht="15" customHeight="1" x14ac:dyDescent="0.3">
      <c r="A645" s="5"/>
      <c r="B645" s="5"/>
      <c r="C645" s="5"/>
      <c r="D645" s="5"/>
      <c r="F645" s="6"/>
      <c r="G645" s="4"/>
      <c r="H645" s="4"/>
      <c r="I645" s="4" t="str">
        <f t="shared" si="61"/>
        <v/>
      </c>
      <c r="BN645" s="7"/>
      <c r="BQ645" s="7"/>
    </row>
    <row r="646" spans="1:69" ht="15" customHeight="1" x14ac:dyDescent="0.3">
      <c r="A646" s="5"/>
      <c r="B646" s="5"/>
      <c r="C646" s="5"/>
      <c r="D646" s="5"/>
      <c r="F646" s="6"/>
      <c r="G646" s="4"/>
      <c r="H646" s="4"/>
      <c r="I646" s="4" t="str">
        <f t="shared" si="61"/>
        <v/>
      </c>
      <c r="BN646" s="7"/>
      <c r="BQ646" s="7"/>
    </row>
    <row r="647" spans="1:69" ht="15" customHeight="1" x14ac:dyDescent="0.3">
      <c r="A647" s="5"/>
      <c r="B647" s="5"/>
      <c r="C647" s="5"/>
      <c r="D647" s="5"/>
      <c r="F647" s="6"/>
      <c r="G647" s="4"/>
      <c r="H647" s="4"/>
      <c r="I647" s="4" t="str">
        <f t="shared" si="61"/>
        <v/>
      </c>
      <c r="BN647" s="7"/>
      <c r="BQ647" s="7"/>
    </row>
    <row r="648" spans="1:69" ht="15" customHeight="1" x14ac:dyDescent="0.3">
      <c r="A648" s="5"/>
      <c r="B648" s="5"/>
      <c r="C648" s="5"/>
      <c r="D648" s="5"/>
      <c r="F648" s="6"/>
      <c r="G648" s="4"/>
      <c r="H648" s="4"/>
      <c r="I648" s="4" t="str">
        <f t="shared" si="61"/>
        <v/>
      </c>
      <c r="BN648" s="7"/>
      <c r="BQ648" s="7"/>
    </row>
    <row r="649" spans="1:69" ht="15" customHeight="1" x14ac:dyDescent="0.3">
      <c r="A649" s="5"/>
      <c r="B649" s="5"/>
      <c r="C649" s="5"/>
      <c r="D649" s="5"/>
      <c r="F649" s="6"/>
      <c r="G649" s="4"/>
      <c r="H649" s="4"/>
      <c r="I649" s="4" t="str">
        <f t="shared" si="61"/>
        <v/>
      </c>
      <c r="BN649" s="7"/>
      <c r="BQ649" s="7"/>
    </row>
    <row r="650" spans="1:69" ht="15" customHeight="1" x14ac:dyDescent="0.3">
      <c r="A650" s="5"/>
      <c r="B650" s="5"/>
      <c r="C650" s="5"/>
      <c r="D650" s="5"/>
      <c r="F650" s="6"/>
      <c r="G650" s="4"/>
      <c r="H650" s="4"/>
      <c r="I650" s="4" t="str">
        <f t="shared" si="61"/>
        <v/>
      </c>
      <c r="BN650" s="7"/>
      <c r="BQ650" s="7"/>
    </row>
    <row r="651" spans="1:69" ht="15" customHeight="1" x14ac:dyDescent="0.3">
      <c r="A651" s="5"/>
      <c r="B651" s="5"/>
      <c r="C651" s="5"/>
      <c r="D651" s="5"/>
      <c r="F651" s="6"/>
      <c r="G651" s="4"/>
      <c r="H651" s="4"/>
      <c r="I651" s="4" t="str">
        <f t="shared" si="61"/>
        <v/>
      </c>
      <c r="BN651" s="7"/>
      <c r="BQ651" s="7"/>
    </row>
    <row r="652" spans="1:69" ht="15" customHeight="1" x14ac:dyDescent="0.3">
      <c r="A652" s="5"/>
      <c r="B652" s="5"/>
      <c r="C652" s="5"/>
      <c r="D652" s="5"/>
      <c r="F652" s="6"/>
      <c r="G652" s="4"/>
      <c r="H652" s="4"/>
      <c r="I652" s="4" t="str">
        <f t="shared" si="61"/>
        <v/>
      </c>
      <c r="BN652" s="7"/>
      <c r="BQ652" s="7"/>
    </row>
    <row r="653" spans="1:69" ht="15" customHeight="1" x14ac:dyDescent="0.3">
      <c r="A653" s="5"/>
      <c r="B653" s="5"/>
      <c r="C653" s="5"/>
      <c r="D653" s="5"/>
      <c r="F653" s="6"/>
      <c r="G653" s="4"/>
      <c r="H653" s="4"/>
      <c r="I653" s="4" t="str">
        <f t="shared" si="61"/>
        <v/>
      </c>
      <c r="BN653" s="7"/>
      <c r="BQ653" s="7"/>
    </row>
    <row r="654" spans="1:69" ht="15" customHeight="1" x14ac:dyDescent="0.3">
      <c r="A654" s="5"/>
      <c r="B654" s="5"/>
      <c r="C654" s="5"/>
      <c r="D654" s="5"/>
      <c r="F654" s="6"/>
      <c r="G654" s="4"/>
      <c r="H654" s="4"/>
      <c r="I654" s="4" t="str">
        <f t="shared" si="61"/>
        <v/>
      </c>
      <c r="BN654" s="7"/>
      <c r="BQ654" s="7"/>
    </row>
    <row r="655" spans="1:69" ht="15" customHeight="1" x14ac:dyDescent="0.3">
      <c r="A655" s="5"/>
      <c r="B655" s="5"/>
      <c r="C655" s="5"/>
      <c r="D655" s="5"/>
      <c r="F655" s="6"/>
      <c r="G655" s="4"/>
      <c r="H655" s="4"/>
      <c r="I655" s="4" t="str">
        <f t="shared" si="61"/>
        <v/>
      </c>
      <c r="BN655" s="7"/>
      <c r="BQ655" s="7"/>
    </row>
    <row r="656" spans="1:69" ht="15" customHeight="1" x14ac:dyDescent="0.3">
      <c r="A656" s="5"/>
      <c r="B656" s="5"/>
      <c r="C656" s="5"/>
      <c r="D656" s="5"/>
      <c r="F656" s="6"/>
      <c r="G656" s="4"/>
      <c r="H656" s="4"/>
      <c r="I656" s="4" t="str">
        <f t="shared" si="61"/>
        <v/>
      </c>
      <c r="BN656" s="7"/>
      <c r="BQ656" s="7"/>
    </row>
    <row r="657" spans="1:69" ht="15" customHeight="1" x14ac:dyDescent="0.3">
      <c r="A657" s="5"/>
      <c r="B657" s="5"/>
      <c r="C657" s="5"/>
      <c r="D657" s="5"/>
      <c r="F657" s="6"/>
      <c r="G657" s="4"/>
      <c r="H657" s="4"/>
      <c r="I657" s="4" t="str">
        <f t="shared" si="61"/>
        <v/>
      </c>
      <c r="BN657" s="7"/>
      <c r="BQ657" s="7"/>
    </row>
    <row r="658" spans="1:69" ht="15" customHeight="1" x14ac:dyDescent="0.3">
      <c r="A658" s="5"/>
      <c r="B658" s="5"/>
      <c r="C658" s="5"/>
      <c r="D658" s="5"/>
      <c r="F658" s="6"/>
      <c r="G658" s="4"/>
      <c r="H658" s="4"/>
      <c r="I658" s="4" t="str">
        <f t="shared" si="61"/>
        <v/>
      </c>
      <c r="BN658" s="7"/>
      <c r="BQ658" s="7"/>
    </row>
    <row r="659" spans="1:69" ht="15" customHeight="1" x14ac:dyDescent="0.3">
      <c r="A659" s="5"/>
      <c r="B659" s="5"/>
      <c r="C659" s="5"/>
      <c r="D659" s="5"/>
      <c r="F659" s="6"/>
      <c r="G659" s="4"/>
      <c r="H659" s="4"/>
      <c r="I659" s="4" t="str">
        <f t="shared" si="61"/>
        <v/>
      </c>
      <c r="BN659" s="7"/>
      <c r="BQ659" s="7"/>
    </row>
    <row r="660" spans="1:69" ht="15" customHeight="1" x14ac:dyDescent="0.3">
      <c r="A660" s="5"/>
      <c r="B660" s="5"/>
      <c r="C660" s="5"/>
      <c r="D660" s="5"/>
      <c r="F660" s="6"/>
      <c r="G660" s="4"/>
      <c r="H660" s="4"/>
      <c r="I660" s="4" t="str">
        <f t="shared" si="61"/>
        <v/>
      </c>
      <c r="BN660" s="7"/>
      <c r="BQ660" s="7"/>
    </row>
    <row r="661" spans="1:69" ht="15" customHeight="1" x14ac:dyDescent="0.3">
      <c r="A661" s="5"/>
      <c r="B661" s="5"/>
      <c r="C661" s="5"/>
      <c r="D661" s="5"/>
      <c r="F661" s="6"/>
      <c r="G661" s="4"/>
      <c r="H661" s="4"/>
      <c r="I661" s="4" t="str">
        <f t="shared" si="61"/>
        <v/>
      </c>
      <c r="BN661" s="7"/>
      <c r="BQ661" s="7"/>
    </row>
    <row r="662" spans="1:69" ht="15" customHeight="1" x14ac:dyDescent="0.3">
      <c r="A662" s="5"/>
      <c r="B662" s="5"/>
      <c r="C662" s="5"/>
      <c r="D662" s="5"/>
      <c r="F662" s="6"/>
      <c r="G662" s="4"/>
      <c r="H662" s="4"/>
      <c r="I662" s="4" t="str">
        <f t="shared" si="61"/>
        <v/>
      </c>
      <c r="BN662" s="7"/>
      <c r="BQ662" s="7"/>
    </row>
    <row r="663" spans="1:69" ht="15" customHeight="1" x14ac:dyDescent="0.3">
      <c r="A663" s="5"/>
      <c r="B663" s="5"/>
      <c r="C663" s="5"/>
      <c r="D663" s="5"/>
      <c r="F663" s="6"/>
      <c r="G663" s="4"/>
      <c r="H663" s="4"/>
      <c r="I663" s="4" t="str">
        <f t="shared" si="61"/>
        <v/>
      </c>
      <c r="BN663" s="7"/>
      <c r="BQ663" s="7"/>
    </row>
    <row r="664" spans="1:69" ht="15" customHeight="1" x14ac:dyDescent="0.3">
      <c r="A664" s="5"/>
      <c r="B664" s="5"/>
      <c r="C664" s="5"/>
      <c r="D664" s="5"/>
      <c r="F664" s="6"/>
      <c r="G664" s="4"/>
      <c r="H664" s="4"/>
      <c r="I664" s="4" t="str">
        <f t="shared" si="61"/>
        <v/>
      </c>
      <c r="BN664" s="7"/>
      <c r="BQ664" s="7"/>
    </row>
    <row r="665" spans="1:69" ht="15" customHeight="1" x14ac:dyDescent="0.3">
      <c r="A665" s="5"/>
      <c r="B665" s="5"/>
      <c r="C665" s="5"/>
      <c r="D665" s="5"/>
      <c r="F665" s="6"/>
      <c r="G665" s="4"/>
      <c r="H665" s="4"/>
      <c r="I665" s="4" t="str">
        <f t="shared" si="61"/>
        <v/>
      </c>
      <c r="BN665" s="7"/>
      <c r="BQ665" s="7"/>
    </row>
    <row r="666" spans="1:69" ht="15" customHeight="1" x14ac:dyDescent="0.3">
      <c r="A666" s="5"/>
      <c r="B666" s="5"/>
      <c r="C666" s="5"/>
      <c r="D666" s="5"/>
      <c r="F666" s="6"/>
      <c r="G666" s="4"/>
      <c r="H666" s="4"/>
      <c r="I666" s="4" t="str">
        <f t="shared" si="61"/>
        <v/>
      </c>
      <c r="BN666" s="7"/>
      <c r="BQ666" s="7"/>
    </row>
    <row r="667" spans="1:69" ht="15" customHeight="1" x14ac:dyDescent="0.3">
      <c r="A667" s="5"/>
      <c r="B667" s="5"/>
      <c r="C667" s="5"/>
      <c r="D667" s="5"/>
      <c r="F667" s="6"/>
      <c r="G667" s="4"/>
      <c r="H667" s="4"/>
      <c r="I667" s="4" t="str">
        <f t="shared" si="61"/>
        <v/>
      </c>
      <c r="BN667" s="7"/>
      <c r="BQ667" s="7"/>
    </row>
    <row r="668" spans="1:69" ht="15" customHeight="1" x14ac:dyDescent="0.3">
      <c r="A668" s="5"/>
      <c r="B668" s="5"/>
      <c r="C668" s="5"/>
      <c r="D668" s="5"/>
      <c r="F668" s="6"/>
      <c r="G668" s="4"/>
      <c r="H668" s="4"/>
      <c r="I668" s="4" t="str">
        <f t="shared" si="61"/>
        <v/>
      </c>
      <c r="BN668" s="7"/>
      <c r="BQ668" s="7"/>
    </row>
    <row r="669" spans="1:69" ht="15" customHeight="1" x14ac:dyDescent="0.3">
      <c r="A669" s="5"/>
      <c r="B669" s="5"/>
      <c r="C669" s="5"/>
      <c r="D669" s="5"/>
      <c r="F669" s="6"/>
      <c r="G669" s="4"/>
      <c r="H669" s="4"/>
      <c r="I669" s="4" t="str">
        <f t="shared" si="61"/>
        <v/>
      </c>
      <c r="BN669" s="7"/>
      <c r="BQ669" s="7"/>
    </row>
    <row r="670" spans="1:69" ht="15" customHeight="1" x14ac:dyDescent="0.3">
      <c r="A670" s="5"/>
      <c r="B670" s="5"/>
      <c r="C670" s="5"/>
      <c r="D670" s="5"/>
      <c r="F670" s="6"/>
      <c r="G670" s="4"/>
      <c r="H670" s="4"/>
      <c r="I670" s="4" t="str">
        <f t="shared" si="61"/>
        <v/>
      </c>
      <c r="BN670" s="7"/>
      <c r="BQ670" s="7"/>
    </row>
    <row r="671" spans="1:69" ht="15" customHeight="1" x14ac:dyDescent="0.3">
      <c r="A671" s="5"/>
      <c r="B671" s="5"/>
      <c r="C671" s="5"/>
      <c r="D671" s="5"/>
      <c r="F671" s="6"/>
      <c r="G671" s="4"/>
      <c r="H671" s="4"/>
      <c r="I671" s="4" t="str">
        <f t="shared" si="61"/>
        <v/>
      </c>
      <c r="BN671" s="7"/>
      <c r="BQ671" s="7"/>
    </row>
    <row r="672" spans="1:69" ht="15" customHeight="1" x14ac:dyDescent="0.3">
      <c r="A672" s="5"/>
      <c r="B672" s="5"/>
      <c r="C672" s="5"/>
      <c r="D672" s="5"/>
      <c r="F672" s="6"/>
      <c r="G672" s="4"/>
      <c r="H672" s="4"/>
      <c r="I672" s="4" t="str">
        <f t="shared" si="61"/>
        <v/>
      </c>
      <c r="BN672" s="7"/>
      <c r="BQ672" s="7"/>
    </row>
    <row r="673" spans="1:69" ht="15" customHeight="1" x14ac:dyDescent="0.3">
      <c r="A673" s="5"/>
      <c r="B673" s="5"/>
      <c r="C673" s="5"/>
      <c r="D673" s="5"/>
      <c r="F673" s="6"/>
      <c r="G673" s="4"/>
      <c r="H673" s="4"/>
      <c r="I673" s="4" t="str">
        <f t="shared" si="61"/>
        <v/>
      </c>
      <c r="BN673" s="7"/>
      <c r="BQ673" s="7"/>
    </row>
    <row r="674" spans="1:69" ht="15" customHeight="1" x14ac:dyDescent="0.3">
      <c r="A674" s="5"/>
      <c r="B674" s="5"/>
      <c r="C674" s="5"/>
      <c r="D674" s="5"/>
      <c r="F674" s="6"/>
      <c r="G674" s="4"/>
      <c r="H674" s="4"/>
      <c r="I674" s="4" t="str">
        <f t="shared" si="61"/>
        <v/>
      </c>
      <c r="BN674" s="7"/>
      <c r="BQ674" s="7"/>
    </row>
    <row r="675" spans="1:69" ht="15" customHeight="1" x14ac:dyDescent="0.3">
      <c r="A675" s="5"/>
      <c r="B675" s="5"/>
      <c r="C675" s="5"/>
      <c r="D675" s="5"/>
      <c r="F675" s="6"/>
      <c r="G675" s="4"/>
      <c r="H675" s="4"/>
      <c r="I675" s="4" t="str">
        <f t="shared" si="61"/>
        <v/>
      </c>
      <c r="BN675" s="7"/>
      <c r="BQ675" s="7"/>
    </row>
    <row r="676" spans="1:69" ht="15" customHeight="1" x14ac:dyDescent="0.3">
      <c r="A676" s="5"/>
      <c r="B676" s="5"/>
      <c r="C676" s="5"/>
      <c r="D676" s="5"/>
      <c r="F676" s="6"/>
      <c r="G676" s="4"/>
      <c r="H676" s="4"/>
      <c r="I676" s="4" t="str">
        <f t="shared" si="61"/>
        <v/>
      </c>
      <c r="BN676" s="7"/>
      <c r="BQ676" s="7"/>
    </row>
    <row r="677" spans="1:69" ht="15" customHeight="1" x14ac:dyDescent="0.3">
      <c r="A677" s="5"/>
      <c r="B677" s="5"/>
      <c r="C677" s="5"/>
      <c r="D677" s="5"/>
      <c r="F677" s="6"/>
      <c r="G677" s="4"/>
      <c r="H677" s="4"/>
      <c r="I677" s="4" t="str">
        <f t="shared" si="61"/>
        <v/>
      </c>
      <c r="BN677" s="7"/>
      <c r="BQ677" s="7"/>
    </row>
    <row r="678" spans="1:69" ht="15" customHeight="1" x14ac:dyDescent="0.3">
      <c r="A678" s="5"/>
      <c r="B678" s="5"/>
      <c r="C678" s="5"/>
      <c r="D678" s="5"/>
      <c r="F678" s="6"/>
      <c r="G678" s="4"/>
      <c r="H678" s="4"/>
      <c r="I678" s="4" t="str">
        <f t="shared" si="61"/>
        <v/>
      </c>
      <c r="BN678" s="7"/>
      <c r="BQ678" s="7"/>
    </row>
    <row r="679" spans="1:69" ht="15" customHeight="1" x14ac:dyDescent="0.3">
      <c r="A679" s="5"/>
      <c r="B679" s="5"/>
      <c r="C679" s="5"/>
      <c r="D679" s="5"/>
      <c r="F679" s="6"/>
      <c r="G679" s="4"/>
      <c r="H679" s="4"/>
      <c r="I679" s="4" t="str">
        <f t="shared" si="61"/>
        <v/>
      </c>
      <c r="BN679" s="7"/>
      <c r="BQ679" s="7"/>
    </row>
    <row r="680" spans="1:69" ht="15" customHeight="1" x14ac:dyDescent="0.3">
      <c r="A680" s="5"/>
      <c r="B680" s="5"/>
      <c r="C680" s="5"/>
      <c r="D680" s="5"/>
      <c r="F680" s="6"/>
      <c r="G680" s="4"/>
      <c r="H680" s="4"/>
      <c r="I680" s="4" t="str">
        <f t="shared" si="61"/>
        <v/>
      </c>
      <c r="BN680" s="7"/>
      <c r="BQ680" s="7"/>
    </row>
    <row r="681" spans="1:69" ht="15" customHeight="1" x14ac:dyDescent="0.3">
      <c r="A681" s="5"/>
      <c r="B681" s="5"/>
      <c r="C681" s="5"/>
      <c r="D681" s="5"/>
      <c r="F681" s="6"/>
      <c r="G681" s="4"/>
      <c r="H681" s="4"/>
      <c r="I681" s="4" t="str">
        <f t="shared" si="61"/>
        <v/>
      </c>
      <c r="BN681" s="7"/>
      <c r="BQ681" s="7"/>
    </row>
    <row r="682" spans="1:69" ht="15" customHeight="1" x14ac:dyDescent="0.3">
      <c r="A682" s="5"/>
      <c r="B682" s="5"/>
      <c r="C682" s="5"/>
      <c r="D682" s="5"/>
      <c r="F682" s="6"/>
      <c r="G682" s="4"/>
      <c r="H682" s="4"/>
      <c r="I682" s="4" t="str">
        <f t="shared" si="61"/>
        <v/>
      </c>
      <c r="BN682" s="7"/>
      <c r="BQ682" s="7"/>
    </row>
    <row r="683" spans="1:69" ht="15" customHeight="1" x14ac:dyDescent="0.3">
      <c r="A683" s="5"/>
      <c r="B683" s="5"/>
      <c r="C683" s="5"/>
      <c r="D683" s="5"/>
      <c r="F683" s="6"/>
      <c r="G683" s="4"/>
      <c r="H683" s="4"/>
      <c r="I683" s="4" t="str">
        <f t="shared" si="61"/>
        <v/>
      </c>
      <c r="BN683" s="7"/>
      <c r="BQ683" s="7"/>
    </row>
    <row r="684" spans="1:69" ht="15" customHeight="1" x14ac:dyDescent="0.3">
      <c r="A684" s="5"/>
      <c r="B684" s="5"/>
      <c r="C684" s="5"/>
      <c r="D684" s="5"/>
      <c r="F684" s="6"/>
      <c r="G684" s="4"/>
      <c r="H684" s="4"/>
      <c r="I684" s="4" t="str">
        <f t="shared" si="61"/>
        <v/>
      </c>
      <c r="BN684" s="7"/>
      <c r="BQ684" s="7"/>
    </row>
    <row r="685" spans="1:69" ht="15" customHeight="1" x14ac:dyDescent="0.3">
      <c r="A685" s="5"/>
      <c r="B685" s="5"/>
      <c r="C685" s="5"/>
      <c r="D685" s="5"/>
      <c r="F685" s="6"/>
      <c r="G685" s="4"/>
      <c r="H685" s="4"/>
      <c r="I685" s="4" t="str">
        <f t="shared" si="61"/>
        <v/>
      </c>
      <c r="BN685" s="7"/>
      <c r="BQ685" s="7"/>
    </row>
    <row r="686" spans="1:69" ht="15" customHeight="1" x14ac:dyDescent="0.3">
      <c r="A686" s="5"/>
      <c r="B686" s="5"/>
      <c r="C686" s="5"/>
      <c r="D686" s="5"/>
      <c r="F686" s="6"/>
      <c r="G686" s="4"/>
      <c r="H686" s="4"/>
      <c r="I686" s="4" t="str">
        <f t="shared" si="61"/>
        <v/>
      </c>
      <c r="BN686" s="7"/>
      <c r="BQ686" s="7"/>
    </row>
    <row r="687" spans="1:69" ht="15" customHeight="1" x14ac:dyDescent="0.3">
      <c r="A687" s="5"/>
      <c r="B687" s="5"/>
      <c r="C687" s="5"/>
      <c r="D687" s="5"/>
      <c r="F687" s="6"/>
      <c r="G687" s="4"/>
      <c r="H687" s="4"/>
      <c r="I687" s="4" t="str">
        <f t="shared" si="61"/>
        <v/>
      </c>
      <c r="BN687" s="7"/>
      <c r="BQ687" s="7"/>
    </row>
    <row r="688" spans="1:69" ht="15" customHeight="1" x14ac:dyDescent="0.3">
      <c r="A688" s="5"/>
      <c r="B688" s="5"/>
      <c r="C688" s="5"/>
      <c r="D688" s="5"/>
      <c r="F688" s="6"/>
      <c r="G688" s="4"/>
      <c r="H688" s="4"/>
      <c r="I688" s="4" t="str">
        <f t="shared" si="61"/>
        <v/>
      </c>
      <c r="BN688" s="7"/>
      <c r="BQ688" s="7"/>
    </row>
    <row r="689" spans="1:69" ht="15" customHeight="1" x14ac:dyDescent="0.3">
      <c r="A689" s="5"/>
      <c r="B689" s="5"/>
      <c r="C689" s="5"/>
      <c r="D689" s="5"/>
      <c r="F689" s="6"/>
      <c r="G689" s="4"/>
      <c r="H689" s="4"/>
      <c r="I689" s="4" t="str">
        <f t="shared" si="61"/>
        <v/>
      </c>
      <c r="BN689" s="7"/>
      <c r="BQ689" s="7"/>
    </row>
    <row r="690" spans="1:69" ht="15" customHeight="1" x14ac:dyDescent="0.3">
      <c r="A690" s="5"/>
      <c r="B690" s="5"/>
      <c r="C690" s="5"/>
      <c r="D690" s="5"/>
      <c r="F690" s="6"/>
      <c r="G690" s="4"/>
      <c r="H690" s="4"/>
      <c r="I690" s="4" t="str">
        <f t="shared" si="61"/>
        <v/>
      </c>
      <c r="BN690" s="7"/>
      <c r="BQ690" s="7"/>
    </row>
    <row r="691" spans="1:69" ht="15" customHeight="1" x14ac:dyDescent="0.3">
      <c r="A691" s="5"/>
      <c r="B691" s="5"/>
      <c r="C691" s="5"/>
      <c r="D691" s="5"/>
      <c r="F691" s="6"/>
      <c r="G691" s="4"/>
      <c r="H691" s="4"/>
      <c r="I691" s="4" t="str">
        <f t="shared" si="61"/>
        <v/>
      </c>
      <c r="BN691" s="7"/>
      <c r="BQ691" s="7"/>
    </row>
    <row r="692" spans="1:69" ht="15" customHeight="1" x14ac:dyDescent="0.3">
      <c r="A692" s="5"/>
      <c r="B692" s="5"/>
      <c r="C692" s="5"/>
      <c r="D692" s="5"/>
      <c r="F692" s="6"/>
      <c r="G692" s="4"/>
      <c r="H692" s="4"/>
      <c r="I692" s="4" t="str">
        <f t="shared" si="61"/>
        <v/>
      </c>
      <c r="BN692" s="7"/>
      <c r="BQ692" s="7"/>
    </row>
    <row r="693" spans="1:69" ht="15" customHeight="1" x14ac:dyDescent="0.3">
      <c r="A693" s="5"/>
      <c r="B693" s="5"/>
      <c r="C693" s="5"/>
      <c r="D693" s="5"/>
      <c r="F693" s="6"/>
      <c r="G693" s="4"/>
      <c r="H693" s="4"/>
      <c r="I693" s="4" t="str">
        <f t="shared" si="61"/>
        <v/>
      </c>
      <c r="BN693" s="7"/>
      <c r="BQ693" s="7"/>
    </row>
    <row r="694" spans="1:69" ht="15" customHeight="1" x14ac:dyDescent="0.3">
      <c r="A694" s="5"/>
      <c r="B694" s="5"/>
      <c r="C694" s="5"/>
      <c r="D694" s="5"/>
      <c r="F694" s="6"/>
      <c r="G694" s="4"/>
      <c r="H694" s="4"/>
      <c r="I694" s="4" t="str">
        <f t="shared" si="61"/>
        <v/>
      </c>
      <c r="BN694" s="7"/>
      <c r="BQ694" s="7"/>
    </row>
    <row r="695" spans="1:69" ht="15" customHeight="1" x14ac:dyDescent="0.3">
      <c r="A695" s="5"/>
      <c r="B695" s="5"/>
      <c r="C695" s="5"/>
      <c r="D695" s="5"/>
      <c r="F695" s="6"/>
      <c r="G695" s="4"/>
      <c r="H695" s="4"/>
      <c r="I695" s="4" t="str">
        <f t="shared" si="61"/>
        <v/>
      </c>
      <c r="BN695" s="7"/>
      <c r="BQ695" s="7"/>
    </row>
    <row r="696" spans="1:69" ht="15" customHeight="1" x14ac:dyDescent="0.3">
      <c r="A696" s="5"/>
      <c r="B696" s="5"/>
      <c r="C696" s="5"/>
      <c r="D696" s="5"/>
      <c r="F696" s="6"/>
      <c r="G696" s="4"/>
      <c r="H696" s="4"/>
      <c r="I696" s="4" t="str">
        <f t="shared" si="61"/>
        <v/>
      </c>
      <c r="BN696" s="7"/>
      <c r="BQ696" s="7"/>
    </row>
    <row r="697" spans="1:69" ht="15" customHeight="1" x14ac:dyDescent="0.3">
      <c r="A697" s="5"/>
      <c r="B697" s="5"/>
      <c r="C697" s="5"/>
      <c r="D697" s="5"/>
      <c r="F697" s="6"/>
      <c r="G697" s="4"/>
      <c r="H697" s="4"/>
      <c r="I697" s="4" t="str">
        <f t="shared" si="61"/>
        <v/>
      </c>
      <c r="BN697" s="7"/>
      <c r="BQ697" s="7"/>
    </row>
    <row r="698" spans="1:69" ht="15" customHeight="1" x14ac:dyDescent="0.3">
      <c r="A698" s="5"/>
      <c r="B698" s="5"/>
      <c r="C698" s="5"/>
      <c r="D698" s="5"/>
      <c r="F698" s="6"/>
      <c r="G698" s="4"/>
      <c r="H698" s="4"/>
      <c r="I698" s="4" t="str">
        <f t="shared" si="61"/>
        <v/>
      </c>
      <c r="BN698" s="7"/>
      <c r="BQ698" s="7"/>
    </row>
    <row r="699" spans="1:69" ht="15" customHeight="1" x14ac:dyDescent="0.3">
      <c r="A699" s="5"/>
      <c r="B699" s="5"/>
      <c r="C699" s="5"/>
      <c r="D699" s="5"/>
      <c r="F699" s="6"/>
      <c r="G699" s="4"/>
      <c r="H699" s="4"/>
      <c r="I699" s="4" t="str">
        <f t="shared" si="61"/>
        <v/>
      </c>
      <c r="BN699" s="7"/>
      <c r="BQ699" s="7"/>
    </row>
    <row r="700" spans="1:69" ht="15" customHeight="1" x14ac:dyDescent="0.3">
      <c r="A700" s="5"/>
      <c r="B700" s="5"/>
      <c r="C700" s="5"/>
      <c r="D700" s="5"/>
      <c r="F700" s="6"/>
      <c r="G700" s="4"/>
      <c r="H700" s="4"/>
      <c r="I700" s="4" t="str">
        <f t="shared" si="61"/>
        <v/>
      </c>
      <c r="BN700" s="7"/>
      <c r="BQ700" s="7"/>
    </row>
    <row r="701" spans="1:69" ht="15" customHeight="1" x14ac:dyDescent="0.3">
      <c r="A701" s="5"/>
      <c r="B701" s="5"/>
      <c r="C701" s="5"/>
      <c r="D701" s="5"/>
      <c r="F701" s="6"/>
      <c r="G701" s="4"/>
      <c r="H701" s="4"/>
      <c r="I701" s="4" t="str">
        <f t="shared" si="61"/>
        <v/>
      </c>
      <c r="BN701" s="7"/>
      <c r="BQ701" s="7"/>
    </row>
    <row r="702" spans="1:69" ht="15" customHeight="1" x14ac:dyDescent="0.3">
      <c r="A702" s="5"/>
      <c r="B702" s="5"/>
      <c r="C702" s="5"/>
      <c r="D702" s="5"/>
      <c r="F702" s="6"/>
      <c r="G702" s="4"/>
      <c r="H702" s="4"/>
      <c r="I702" s="4" t="str">
        <f t="shared" si="61"/>
        <v/>
      </c>
      <c r="BN702" s="7"/>
      <c r="BQ702" s="7"/>
    </row>
    <row r="703" spans="1:69" ht="15" customHeight="1" x14ac:dyDescent="0.3">
      <c r="A703" s="5"/>
      <c r="B703" s="5"/>
      <c r="C703" s="5"/>
      <c r="D703" s="5"/>
      <c r="F703" s="6"/>
      <c r="G703" s="4"/>
      <c r="H703" s="4"/>
      <c r="I703" s="4" t="str">
        <f t="shared" si="61"/>
        <v/>
      </c>
      <c r="BN703" s="7"/>
      <c r="BQ703" s="7"/>
    </row>
    <row r="704" spans="1:69" ht="15" customHeight="1" x14ac:dyDescent="0.3">
      <c r="A704" s="5"/>
      <c r="B704" s="5"/>
      <c r="C704" s="5"/>
      <c r="D704" s="5"/>
      <c r="F704" s="6"/>
      <c r="G704" s="4"/>
      <c r="H704" s="4"/>
      <c r="I704" s="4" t="str">
        <f t="shared" si="61"/>
        <v/>
      </c>
      <c r="BN704" s="7"/>
      <c r="BQ704" s="7"/>
    </row>
    <row r="705" spans="1:69" ht="15" customHeight="1" x14ac:dyDescent="0.3">
      <c r="A705" s="5"/>
      <c r="B705" s="5"/>
      <c r="C705" s="5"/>
      <c r="D705" s="5"/>
      <c r="F705" s="6"/>
      <c r="G705" s="4"/>
      <c r="H705" s="4"/>
      <c r="I705" s="4" t="str">
        <f t="shared" si="61"/>
        <v/>
      </c>
      <c r="BN705" s="7"/>
      <c r="BQ705" s="7"/>
    </row>
    <row r="706" spans="1:69" ht="15" customHeight="1" x14ac:dyDescent="0.3">
      <c r="A706" s="5"/>
      <c r="B706" s="5"/>
      <c r="C706" s="5"/>
      <c r="D706" s="5"/>
      <c r="F706" s="6"/>
      <c r="G706" s="4"/>
      <c r="H706" s="4"/>
      <c r="I706" s="4" t="str">
        <f t="shared" si="61"/>
        <v/>
      </c>
      <c r="BN706" s="7"/>
      <c r="BQ706" s="7"/>
    </row>
    <row r="707" spans="1:69" ht="15" customHeight="1" x14ac:dyDescent="0.3">
      <c r="A707" s="5"/>
      <c r="B707" s="5"/>
      <c r="C707" s="5"/>
      <c r="D707" s="5"/>
      <c r="F707" s="6"/>
      <c r="G707" s="4"/>
      <c r="H707" s="4"/>
      <c r="I707" s="4" t="str">
        <f t="shared" ref="I707:I770" si="62">IFERROR(MID(A707,FIND("Sorry, the entered Application Number",A707),68),"")</f>
        <v/>
      </c>
      <c r="BN707" s="7"/>
      <c r="BQ707" s="7"/>
    </row>
    <row r="708" spans="1:69" ht="15" customHeight="1" x14ac:dyDescent="0.3">
      <c r="A708" s="5"/>
      <c r="B708" s="5"/>
      <c r="C708" s="5"/>
      <c r="D708" s="5"/>
      <c r="F708" s="6"/>
      <c r="G708" s="4"/>
      <c r="H708" s="4"/>
      <c r="I708" s="4" t="str">
        <f t="shared" si="62"/>
        <v/>
      </c>
      <c r="BN708" s="7"/>
      <c r="BQ708" s="7"/>
    </row>
    <row r="709" spans="1:69" ht="15" customHeight="1" x14ac:dyDescent="0.3">
      <c r="A709" s="5"/>
      <c r="B709" s="5"/>
      <c r="C709" s="5"/>
      <c r="D709" s="5"/>
      <c r="F709" s="6"/>
      <c r="G709" s="4"/>
      <c r="H709" s="4"/>
      <c r="I709" s="4" t="str">
        <f t="shared" si="62"/>
        <v/>
      </c>
      <c r="BN709" s="7"/>
      <c r="BQ709" s="7"/>
    </row>
    <row r="710" spans="1:69" ht="15" customHeight="1" x14ac:dyDescent="0.3">
      <c r="A710" s="5"/>
      <c r="B710" s="5"/>
      <c r="C710" s="5"/>
      <c r="D710" s="5"/>
      <c r="F710" s="6"/>
      <c r="G710" s="4"/>
      <c r="H710" s="4"/>
      <c r="I710" s="4" t="str">
        <f t="shared" si="62"/>
        <v/>
      </c>
      <c r="BN710" s="7"/>
      <c r="BQ710" s="7"/>
    </row>
    <row r="711" spans="1:69" ht="15" customHeight="1" x14ac:dyDescent="0.3">
      <c r="A711" s="5"/>
      <c r="B711" s="5"/>
      <c r="C711" s="5"/>
      <c r="D711" s="5"/>
      <c r="F711" s="6"/>
      <c r="G711" s="4"/>
      <c r="H711" s="4"/>
      <c r="I711" s="4" t="str">
        <f t="shared" si="62"/>
        <v/>
      </c>
      <c r="BN711" s="7"/>
      <c r="BQ711" s="7"/>
    </row>
    <row r="712" spans="1:69" ht="15" customHeight="1" x14ac:dyDescent="0.3">
      <c r="A712" s="5"/>
      <c r="B712" s="5"/>
      <c r="C712" s="5"/>
      <c r="D712" s="5"/>
      <c r="F712" s="6"/>
      <c r="G712" s="4"/>
      <c r="H712" s="4"/>
      <c r="I712" s="4" t="str">
        <f t="shared" si="62"/>
        <v/>
      </c>
      <c r="BN712" s="7"/>
      <c r="BQ712" s="7"/>
    </row>
    <row r="713" spans="1:69" ht="15" customHeight="1" x14ac:dyDescent="0.3">
      <c r="A713" s="5"/>
      <c r="B713" s="5"/>
      <c r="C713" s="5"/>
      <c r="D713" s="5"/>
      <c r="F713" s="6"/>
      <c r="G713" s="4"/>
      <c r="H713" s="4"/>
      <c r="I713" s="4" t="str">
        <f t="shared" si="62"/>
        <v/>
      </c>
      <c r="BN713" s="7"/>
      <c r="BQ713" s="7"/>
    </row>
    <row r="714" spans="1:69" ht="15" customHeight="1" x14ac:dyDescent="0.3">
      <c r="A714" s="5"/>
      <c r="B714" s="5"/>
      <c r="C714" s="5"/>
      <c r="D714" s="5"/>
      <c r="F714" s="6"/>
      <c r="G714" s="4"/>
      <c r="H714" s="4"/>
      <c r="I714" s="4" t="str">
        <f t="shared" si="62"/>
        <v/>
      </c>
      <c r="BN714" s="7"/>
      <c r="BQ714" s="7"/>
    </row>
    <row r="715" spans="1:69" ht="15" customHeight="1" x14ac:dyDescent="0.3">
      <c r="A715" s="5"/>
      <c r="B715" s="5"/>
      <c r="C715" s="5"/>
      <c r="D715" s="5"/>
      <c r="F715" s="6"/>
      <c r="G715" s="4"/>
      <c r="H715" s="4"/>
      <c r="I715" s="4" t="str">
        <f t="shared" si="62"/>
        <v/>
      </c>
      <c r="BN715" s="7"/>
      <c r="BQ715" s="7"/>
    </row>
    <row r="716" spans="1:69" ht="15" customHeight="1" x14ac:dyDescent="0.3">
      <c r="A716" s="5"/>
      <c r="B716" s="5"/>
      <c r="C716" s="5"/>
      <c r="D716" s="5"/>
      <c r="F716" s="6"/>
      <c r="G716" s="4"/>
      <c r="H716" s="4"/>
      <c r="I716" s="4" t="str">
        <f t="shared" si="62"/>
        <v/>
      </c>
      <c r="BN716" s="7"/>
      <c r="BQ716" s="7"/>
    </row>
    <row r="717" spans="1:69" ht="15" customHeight="1" x14ac:dyDescent="0.3">
      <c r="A717" s="5"/>
      <c r="B717" s="5"/>
      <c r="C717" s="5"/>
      <c r="D717" s="5"/>
      <c r="F717" s="6"/>
      <c r="G717" s="4"/>
      <c r="H717" s="4"/>
      <c r="I717" s="4" t="str">
        <f t="shared" si="62"/>
        <v/>
      </c>
      <c r="BN717" s="7"/>
      <c r="BQ717" s="7"/>
    </row>
    <row r="718" spans="1:69" ht="15" customHeight="1" x14ac:dyDescent="0.3">
      <c r="A718" s="5"/>
      <c r="B718" s="5"/>
      <c r="C718" s="5"/>
      <c r="D718" s="5"/>
      <c r="F718" s="6"/>
      <c r="G718" s="4"/>
      <c r="H718" s="4"/>
      <c r="I718" s="4" t="str">
        <f t="shared" si="62"/>
        <v/>
      </c>
      <c r="BN718" s="7"/>
      <c r="BQ718" s="7"/>
    </row>
    <row r="719" spans="1:69" ht="15" customHeight="1" x14ac:dyDescent="0.3">
      <c r="A719" s="5"/>
      <c r="B719" s="5"/>
      <c r="C719" s="5"/>
      <c r="D719" s="5"/>
      <c r="F719" s="6"/>
      <c r="G719" s="4"/>
      <c r="H719" s="4"/>
      <c r="I719" s="4" t="str">
        <f t="shared" si="62"/>
        <v/>
      </c>
      <c r="BN719" s="7"/>
      <c r="BQ719" s="7"/>
    </row>
    <row r="720" spans="1:69" ht="15" customHeight="1" x14ac:dyDescent="0.3">
      <c r="A720" s="5"/>
      <c r="B720" s="5"/>
      <c r="C720" s="5"/>
      <c r="D720" s="5"/>
      <c r="F720" s="6"/>
      <c r="G720" s="4"/>
      <c r="H720" s="4"/>
      <c r="I720" s="4" t="str">
        <f t="shared" si="62"/>
        <v/>
      </c>
      <c r="BN720" s="7"/>
      <c r="BQ720" s="7"/>
    </row>
    <row r="721" spans="1:69" ht="15" customHeight="1" x14ac:dyDescent="0.3">
      <c r="A721" s="5"/>
      <c r="B721" s="5"/>
      <c r="C721" s="5"/>
      <c r="D721" s="5"/>
      <c r="F721" s="6"/>
      <c r="G721" s="4"/>
      <c r="H721" s="4"/>
      <c r="I721" s="4" t="str">
        <f t="shared" si="62"/>
        <v/>
      </c>
      <c r="BN721" s="7"/>
      <c r="BQ721" s="7"/>
    </row>
    <row r="722" spans="1:69" ht="15" customHeight="1" x14ac:dyDescent="0.3">
      <c r="A722" s="5"/>
      <c r="B722" s="5"/>
      <c r="C722" s="5"/>
      <c r="D722" s="5"/>
      <c r="F722" s="6"/>
      <c r="G722" s="4"/>
      <c r="H722" s="4"/>
      <c r="I722" s="4" t="str">
        <f t="shared" si="62"/>
        <v/>
      </c>
      <c r="BN722" s="7"/>
      <c r="BQ722" s="7"/>
    </row>
    <row r="723" spans="1:69" ht="15" customHeight="1" x14ac:dyDescent="0.3">
      <c r="A723" s="5"/>
      <c r="B723" s="5"/>
      <c r="C723" s="5"/>
      <c r="D723" s="5"/>
      <c r="F723" s="6"/>
      <c r="G723" s="4"/>
      <c r="H723" s="4"/>
      <c r="I723" s="4" t="str">
        <f t="shared" si="62"/>
        <v/>
      </c>
      <c r="BN723" s="7"/>
      <c r="BQ723" s="7"/>
    </row>
    <row r="724" spans="1:69" ht="15" customHeight="1" x14ac:dyDescent="0.3">
      <c r="A724" s="5"/>
      <c r="B724" s="5"/>
      <c r="C724" s="5"/>
      <c r="D724" s="5"/>
      <c r="F724" s="6"/>
      <c r="G724" s="4"/>
      <c r="H724" s="4"/>
      <c r="I724" s="4" t="str">
        <f t="shared" si="62"/>
        <v/>
      </c>
      <c r="BN724" s="7"/>
      <c r="BQ724" s="7"/>
    </row>
    <row r="725" spans="1:69" ht="15" customHeight="1" x14ac:dyDescent="0.3">
      <c r="A725" s="5"/>
      <c r="B725" s="5"/>
      <c r="C725" s="5"/>
      <c r="D725" s="5"/>
      <c r="F725" s="6"/>
      <c r="G725" s="4"/>
      <c r="H725" s="4"/>
      <c r="I725" s="4" t="str">
        <f t="shared" si="62"/>
        <v/>
      </c>
      <c r="BN725" s="7"/>
      <c r="BQ725" s="7"/>
    </row>
    <row r="726" spans="1:69" ht="15" customHeight="1" x14ac:dyDescent="0.3">
      <c r="A726" s="5"/>
      <c r="B726" s="5"/>
      <c r="C726" s="5"/>
      <c r="D726" s="5"/>
      <c r="F726" s="6"/>
      <c r="G726" s="4"/>
      <c r="H726" s="4"/>
      <c r="I726" s="4" t="str">
        <f t="shared" si="62"/>
        <v/>
      </c>
      <c r="BN726" s="7"/>
      <c r="BQ726" s="7"/>
    </row>
    <row r="727" spans="1:69" ht="15" customHeight="1" x14ac:dyDescent="0.3">
      <c r="A727" s="5"/>
      <c r="B727" s="5"/>
      <c r="C727" s="5"/>
      <c r="D727" s="5"/>
      <c r="F727" s="6"/>
      <c r="G727" s="4"/>
      <c r="H727" s="4"/>
      <c r="I727" s="4" t="str">
        <f t="shared" si="62"/>
        <v/>
      </c>
      <c r="BN727" s="7"/>
      <c r="BQ727" s="7"/>
    </row>
    <row r="728" spans="1:69" ht="15" customHeight="1" x14ac:dyDescent="0.3">
      <c r="A728" s="5"/>
      <c r="B728" s="5"/>
      <c r="C728" s="5"/>
      <c r="D728" s="5"/>
      <c r="F728" s="6"/>
      <c r="G728" s="4"/>
      <c r="H728" s="4"/>
      <c r="I728" s="4" t="str">
        <f t="shared" si="62"/>
        <v/>
      </c>
      <c r="BN728" s="7"/>
      <c r="BQ728" s="7"/>
    </row>
    <row r="729" spans="1:69" ht="15" customHeight="1" x14ac:dyDescent="0.3">
      <c r="A729" s="5"/>
      <c r="B729" s="5"/>
      <c r="C729" s="5"/>
      <c r="D729" s="5"/>
      <c r="F729" s="6"/>
      <c r="G729" s="4"/>
      <c r="H729" s="4"/>
      <c r="I729" s="4" t="str">
        <f t="shared" si="62"/>
        <v/>
      </c>
      <c r="BN729" s="7"/>
      <c r="BQ729" s="7"/>
    </row>
    <row r="730" spans="1:69" ht="15" customHeight="1" x14ac:dyDescent="0.3">
      <c r="A730" s="5"/>
      <c r="B730" s="5"/>
      <c r="C730" s="5"/>
      <c r="D730" s="5"/>
      <c r="F730" s="6"/>
      <c r="G730" s="4"/>
      <c r="H730" s="4"/>
      <c r="I730" s="4" t="str">
        <f t="shared" si="62"/>
        <v/>
      </c>
      <c r="BN730" s="7"/>
      <c r="BQ730" s="7"/>
    </row>
    <row r="731" spans="1:69" ht="15" customHeight="1" x14ac:dyDescent="0.3">
      <c r="A731" s="5"/>
      <c r="B731" s="5"/>
      <c r="C731" s="5"/>
      <c r="D731" s="5"/>
      <c r="F731" s="6"/>
      <c r="G731" s="4"/>
      <c r="H731" s="4"/>
      <c r="I731" s="4" t="str">
        <f t="shared" si="62"/>
        <v/>
      </c>
      <c r="BN731" s="7"/>
      <c r="BQ731" s="7"/>
    </row>
    <row r="732" spans="1:69" ht="15" customHeight="1" x14ac:dyDescent="0.3">
      <c r="A732" s="5"/>
      <c r="B732" s="5"/>
      <c r="C732" s="5"/>
      <c r="D732" s="5"/>
      <c r="F732" s="6"/>
      <c r="G732" s="4"/>
      <c r="H732" s="4"/>
      <c r="I732" s="4" t="str">
        <f t="shared" si="62"/>
        <v/>
      </c>
      <c r="BN732" s="7"/>
      <c r="BQ732" s="7"/>
    </row>
    <row r="733" spans="1:69" ht="15" customHeight="1" x14ac:dyDescent="0.3">
      <c r="A733" s="5"/>
      <c r="B733" s="5"/>
      <c r="C733" s="5"/>
      <c r="D733" s="5"/>
      <c r="F733" s="6"/>
      <c r="G733" s="4"/>
      <c r="H733" s="4"/>
      <c r="I733" s="4" t="str">
        <f t="shared" si="62"/>
        <v/>
      </c>
      <c r="BN733" s="7"/>
      <c r="BQ733" s="7"/>
    </row>
    <row r="734" spans="1:69" ht="15" customHeight="1" x14ac:dyDescent="0.3">
      <c r="A734" s="5"/>
      <c r="B734" s="5"/>
      <c r="C734" s="5"/>
      <c r="D734" s="5"/>
      <c r="F734" s="6"/>
      <c r="G734" s="4"/>
      <c r="H734" s="4"/>
      <c r="I734" s="4" t="str">
        <f t="shared" si="62"/>
        <v/>
      </c>
      <c r="BN734" s="7"/>
      <c r="BQ734" s="7"/>
    </row>
    <row r="735" spans="1:69" ht="15" customHeight="1" x14ac:dyDescent="0.3">
      <c r="A735" s="5"/>
      <c r="B735" s="5"/>
      <c r="C735" s="5"/>
      <c r="D735" s="5"/>
      <c r="F735" s="6"/>
      <c r="G735" s="4"/>
      <c r="H735" s="4"/>
      <c r="I735" s="4" t="str">
        <f t="shared" si="62"/>
        <v/>
      </c>
      <c r="BN735" s="7"/>
      <c r="BQ735" s="7"/>
    </row>
    <row r="736" spans="1:69" ht="15" customHeight="1" x14ac:dyDescent="0.3">
      <c r="A736" s="5"/>
      <c r="B736" s="5"/>
      <c r="C736" s="5"/>
      <c r="D736" s="5"/>
      <c r="F736" s="6"/>
      <c r="G736" s="4"/>
      <c r="H736" s="4"/>
      <c r="I736" s="4" t="str">
        <f t="shared" si="62"/>
        <v/>
      </c>
      <c r="BN736" s="7"/>
      <c r="BQ736" s="7"/>
    </row>
    <row r="737" spans="1:69" ht="15" customHeight="1" x14ac:dyDescent="0.3">
      <c r="A737" s="5"/>
      <c r="B737" s="5"/>
      <c r="C737" s="5"/>
      <c r="D737" s="5"/>
      <c r="F737" s="6"/>
      <c r="G737" s="4"/>
      <c r="H737" s="4"/>
      <c r="I737" s="4" t="str">
        <f t="shared" si="62"/>
        <v/>
      </c>
      <c r="BN737" s="7"/>
      <c r="BQ737" s="7"/>
    </row>
    <row r="738" spans="1:69" ht="15" customHeight="1" x14ac:dyDescent="0.3">
      <c r="A738" s="5"/>
      <c r="B738" s="5"/>
      <c r="C738" s="5"/>
      <c r="D738" s="5"/>
      <c r="F738" s="6"/>
      <c r="G738" s="4"/>
      <c r="H738" s="4"/>
      <c r="I738" s="4" t="str">
        <f t="shared" si="62"/>
        <v/>
      </c>
      <c r="BN738" s="7"/>
      <c r="BQ738" s="7"/>
    </row>
    <row r="739" spans="1:69" ht="15" customHeight="1" x14ac:dyDescent="0.3">
      <c r="A739" s="5"/>
      <c r="B739" s="5"/>
      <c r="C739" s="5"/>
      <c r="D739" s="5"/>
      <c r="F739" s="6"/>
      <c r="G739" s="4"/>
      <c r="H739" s="4"/>
      <c r="I739" s="4" t="str">
        <f t="shared" si="62"/>
        <v/>
      </c>
      <c r="BN739" s="7"/>
      <c r="BQ739" s="7"/>
    </row>
    <row r="740" spans="1:69" ht="15" customHeight="1" x14ac:dyDescent="0.3">
      <c r="A740" s="5"/>
      <c r="B740" s="5"/>
      <c r="C740" s="5"/>
      <c r="D740" s="5"/>
      <c r="F740" s="6"/>
      <c r="G740" s="4"/>
      <c r="H740" s="4"/>
      <c r="I740" s="4" t="str">
        <f t="shared" si="62"/>
        <v/>
      </c>
      <c r="BN740" s="7"/>
      <c r="BQ740" s="7"/>
    </row>
    <row r="741" spans="1:69" ht="15" customHeight="1" x14ac:dyDescent="0.3">
      <c r="A741" s="5"/>
      <c r="B741" s="5"/>
      <c r="C741" s="5"/>
      <c r="D741" s="5"/>
      <c r="F741" s="6"/>
      <c r="G741" s="4"/>
      <c r="H741" s="4"/>
      <c r="I741" s="4" t="str">
        <f t="shared" si="62"/>
        <v/>
      </c>
      <c r="BN741" s="7"/>
      <c r="BQ741" s="7"/>
    </row>
    <row r="742" spans="1:69" ht="15" customHeight="1" x14ac:dyDescent="0.3">
      <c r="A742" s="5"/>
      <c r="B742" s="5"/>
      <c r="C742" s="5"/>
      <c r="D742" s="5"/>
      <c r="F742" s="6"/>
      <c r="G742" s="4"/>
      <c r="H742" s="4"/>
      <c r="I742" s="4" t="str">
        <f t="shared" si="62"/>
        <v/>
      </c>
      <c r="BN742" s="7"/>
      <c r="BQ742" s="7"/>
    </row>
    <row r="743" spans="1:69" ht="15" customHeight="1" x14ac:dyDescent="0.3">
      <c r="A743" s="5"/>
      <c r="B743" s="5"/>
      <c r="C743" s="5"/>
      <c r="D743" s="5"/>
      <c r="F743" s="6"/>
      <c r="G743" s="4"/>
      <c r="H743" s="4"/>
      <c r="I743" s="4" t="str">
        <f t="shared" si="62"/>
        <v/>
      </c>
      <c r="BN743" s="7"/>
      <c r="BQ743" s="7"/>
    </row>
    <row r="744" spans="1:69" ht="15" customHeight="1" x14ac:dyDescent="0.3">
      <c r="A744" s="5"/>
      <c r="B744" s="5"/>
      <c r="C744" s="5"/>
      <c r="D744" s="5"/>
      <c r="F744" s="6"/>
      <c r="G744" s="4"/>
      <c r="H744" s="4"/>
      <c r="I744" s="4" t="str">
        <f t="shared" si="62"/>
        <v/>
      </c>
      <c r="BN744" s="7"/>
      <c r="BQ744" s="7"/>
    </row>
    <row r="745" spans="1:69" ht="15" customHeight="1" x14ac:dyDescent="0.3">
      <c r="A745" s="5"/>
      <c r="B745" s="5"/>
      <c r="C745" s="5"/>
      <c r="D745" s="5"/>
      <c r="F745" s="6"/>
      <c r="G745" s="4"/>
      <c r="H745" s="4"/>
      <c r="I745" s="4" t="str">
        <f t="shared" si="62"/>
        <v/>
      </c>
      <c r="BN745" s="7"/>
      <c r="BQ745" s="7"/>
    </row>
    <row r="746" spans="1:69" ht="15" customHeight="1" x14ac:dyDescent="0.3">
      <c r="A746" s="5"/>
      <c r="B746" s="5"/>
      <c r="C746" s="5"/>
      <c r="D746" s="5"/>
      <c r="F746" s="6"/>
      <c r="G746" s="4"/>
      <c r="H746" s="4"/>
      <c r="I746" s="4" t="str">
        <f t="shared" si="62"/>
        <v/>
      </c>
      <c r="BN746" s="7"/>
      <c r="BQ746" s="7"/>
    </row>
    <row r="747" spans="1:69" ht="15" customHeight="1" x14ac:dyDescent="0.3">
      <c r="A747" s="5"/>
      <c r="B747" s="5"/>
      <c r="C747" s="5"/>
      <c r="D747" s="5"/>
      <c r="F747" s="6"/>
      <c r="G747" s="4"/>
      <c r="H747" s="4"/>
      <c r="I747" s="4" t="str">
        <f t="shared" si="62"/>
        <v/>
      </c>
      <c r="BN747" s="7"/>
      <c r="BQ747" s="7"/>
    </row>
    <row r="748" spans="1:69" ht="15" customHeight="1" x14ac:dyDescent="0.3">
      <c r="A748" s="5"/>
      <c r="B748" s="5"/>
      <c r="C748" s="5"/>
      <c r="D748" s="5"/>
      <c r="F748" s="6"/>
      <c r="G748" s="4"/>
      <c r="H748" s="4"/>
      <c r="I748" s="4" t="str">
        <f t="shared" si="62"/>
        <v/>
      </c>
      <c r="BN748" s="7"/>
      <c r="BQ748" s="7"/>
    </row>
    <row r="749" spans="1:69" ht="15" customHeight="1" x14ac:dyDescent="0.3">
      <c r="A749" s="5"/>
      <c r="B749" s="5"/>
      <c r="C749" s="5"/>
      <c r="D749" s="5"/>
      <c r="F749" s="6"/>
      <c r="G749" s="4"/>
      <c r="H749" s="4"/>
      <c r="I749" s="4" t="str">
        <f t="shared" si="62"/>
        <v/>
      </c>
      <c r="BN749" s="7"/>
      <c r="BQ749" s="7"/>
    </row>
    <row r="750" spans="1:69" ht="15" customHeight="1" x14ac:dyDescent="0.3">
      <c r="A750" s="5"/>
      <c r="B750" s="5"/>
      <c r="C750" s="5"/>
      <c r="D750" s="5"/>
      <c r="F750" s="6"/>
      <c r="G750" s="4"/>
      <c r="H750" s="4"/>
      <c r="I750" s="4" t="str">
        <f t="shared" si="62"/>
        <v/>
      </c>
      <c r="BN750" s="7"/>
      <c r="BQ750" s="7"/>
    </row>
    <row r="751" spans="1:69" ht="15" customHeight="1" x14ac:dyDescent="0.3">
      <c r="A751" s="5"/>
      <c r="B751" s="5"/>
      <c r="C751" s="5"/>
      <c r="D751" s="5"/>
      <c r="F751" s="6"/>
      <c r="G751" s="4"/>
      <c r="H751" s="4"/>
      <c r="I751" s="4" t="str">
        <f t="shared" si="62"/>
        <v/>
      </c>
      <c r="BN751" s="7"/>
      <c r="BQ751" s="7"/>
    </row>
    <row r="752" spans="1:69" ht="15" customHeight="1" x14ac:dyDescent="0.3">
      <c r="A752" s="5"/>
      <c r="B752" s="5"/>
      <c r="C752" s="5"/>
      <c r="D752" s="5"/>
      <c r="F752" s="6"/>
      <c r="G752" s="4"/>
      <c r="H752" s="4"/>
      <c r="I752" s="4" t="str">
        <f t="shared" si="62"/>
        <v/>
      </c>
      <c r="BN752" s="7"/>
      <c r="BQ752" s="7"/>
    </row>
    <row r="753" spans="1:69" ht="15" customHeight="1" x14ac:dyDescent="0.3">
      <c r="A753" s="5"/>
      <c r="B753" s="5"/>
      <c r="C753" s="5"/>
      <c r="D753" s="5"/>
      <c r="F753" s="6"/>
      <c r="G753" s="4"/>
      <c r="H753" s="4"/>
      <c r="I753" s="4" t="str">
        <f t="shared" si="62"/>
        <v/>
      </c>
      <c r="BN753" s="7"/>
      <c r="BQ753" s="7"/>
    </row>
    <row r="754" spans="1:69" ht="15" customHeight="1" x14ac:dyDescent="0.3">
      <c r="A754" s="5"/>
      <c r="B754" s="5"/>
      <c r="C754" s="5"/>
      <c r="D754" s="5"/>
      <c r="F754" s="6"/>
      <c r="G754" s="4"/>
      <c r="H754" s="4"/>
      <c r="I754" s="4" t="str">
        <f t="shared" si="62"/>
        <v/>
      </c>
      <c r="BN754" s="7"/>
      <c r="BQ754" s="7"/>
    </row>
    <row r="755" spans="1:69" ht="15" customHeight="1" x14ac:dyDescent="0.3">
      <c r="A755" s="5"/>
      <c r="B755" s="5"/>
      <c r="C755" s="5"/>
      <c r="D755" s="5"/>
      <c r="F755" s="6"/>
      <c r="G755" s="4"/>
      <c r="H755" s="4"/>
      <c r="I755" s="4" t="str">
        <f t="shared" si="62"/>
        <v/>
      </c>
      <c r="BN755" s="7"/>
      <c r="BQ755" s="7"/>
    </row>
    <row r="756" spans="1:69" ht="15" customHeight="1" x14ac:dyDescent="0.3">
      <c r="A756" s="5"/>
      <c r="B756" s="5"/>
      <c r="C756" s="5"/>
      <c r="D756" s="5"/>
      <c r="F756" s="6"/>
      <c r="G756" s="4"/>
      <c r="H756" s="4"/>
      <c r="I756" s="4" t="str">
        <f t="shared" si="62"/>
        <v/>
      </c>
      <c r="BN756" s="7"/>
      <c r="BQ756" s="7"/>
    </row>
    <row r="757" spans="1:69" ht="15" customHeight="1" x14ac:dyDescent="0.3">
      <c r="A757" s="5"/>
      <c r="B757" s="5"/>
      <c r="C757" s="5"/>
      <c r="D757" s="5"/>
      <c r="F757" s="6"/>
      <c r="G757" s="4"/>
      <c r="H757" s="4"/>
      <c r="I757" s="4" t="str">
        <f t="shared" si="62"/>
        <v/>
      </c>
      <c r="BN757" s="7"/>
      <c r="BQ757" s="7"/>
    </row>
    <row r="758" spans="1:69" ht="15" customHeight="1" x14ac:dyDescent="0.3">
      <c r="A758" s="5"/>
      <c r="B758" s="5"/>
      <c r="C758" s="5"/>
      <c r="D758" s="5"/>
      <c r="F758" s="6"/>
      <c r="G758" s="4"/>
      <c r="H758" s="4"/>
      <c r="I758" s="4" t="str">
        <f t="shared" si="62"/>
        <v/>
      </c>
      <c r="BN758" s="7"/>
      <c r="BQ758" s="7"/>
    </row>
    <row r="759" spans="1:69" ht="15" customHeight="1" x14ac:dyDescent="0.3">
      <c r="A759" s="5"/>
      <c r="B759" s="5"/>
      <c r="C759" s="5"/>
      <c r="D759" s="5"/>
      <c r="F759" s="6"/>
      <c r="G759" s="4"/>
      <c r="H759" s="4"/>
      <c r="I759" s="4" t="str">
        <f t="shared" si="62"/>
        <v/>
      </c>
      <c r="BN759" s="7"/>
      <c r="BQ759" s="7"/>
    </row>
    <row r="760" spans="1:69" ht="15" customHeight="1" x14ac:dyDescent="0.3">
      <c r="A760" s="5"/>
      <c r="B760" s="5"/>
      <c r="C760" s="5"/>
      <c r="D760" s="5"/>
      <c r="F760" s="6"/>
      <c r="G760" s="4"/>
      <c r="H760" s="4"/>
      <c r="I760" s="4" t="str">
        <f t="shared" si="62"/>
        <v/>
      </c>
      <c r="BN760" s="7"/>
      <c r="BQ760" s="7"/>
    </row>
    <row r="761" spans="1:69" ht="15" customHeight="1" x14ac:dyDescent="0.3">
      <c r="A761" s="5"/>
      <c r="B761" s="5"/>
      <c r="C761" s="5"/>
      <c r="D761" s="5"/>
      <c r="F761" s="6"/>
      <c r="G761" s="4"/>
      <c r="H761" s="4"/>
      <c r="I761" s="4" t="str">
        <f t="shared" si="62"/>
        <v/>
      </c>
      <c r="BN761" s="7"/>
      <c r="BQ761" s="7"/>
    </row>
    <row r="762" spans="1:69" ht="15" customHeight="1" x14ac:dyDescent="0.3">
      <c r="A762" s="5"/>
      <c r="B762" s="5"/>
      <c r="C762" s="5"/>
      <c r="D762" s="5"/>
      <c r="F762" s="6"/>
      <c r="G762" s="4"/>
      <c r="H762" s="4"/>
      <c r="I762" s="4" t="str">
        <f t="shared" si="62"/>
        <v/>
      </c>
      <c r="BN762" s="7"/>
      <c r="BQ762" s="7"/>
    </row>
    <row r="763" spans="1:69" ht="15" customHeight="1" x14ac:dyDescent="0.3">
      <c r="A763" s="5"/>
      <c r="B763" s="5"/>
      <c r="C763" s="5"/>
      <c r="D763" s="5"/>
      <c r="F763" s="6"/>
      <c r="G763" s="4"/>
      <c r="H763" s="4"/>
      <c r="I763" s="4" t="str">
        <f t="shared" si="62"/>
        <v/>
      </c>
      <c r="BN763" s="7"/>
      <c r="BQ763" s="7"/>
    </row>
    <row r="764" spans="1:69" ht="15" customHeight="1" x14ac:dyDescent="0.3">
      <c r="A764" s="5"/>
      <c r="B764" s="5"/>
      <c r="C764" s="5"/>
      <c r="D764" s="5"/>
      <c r="F764" s="6"/>
      <c r="G764" s="4"/>
      <c r="H764" s="4"/>
      <c r="I764" s="4" t="str">
        <f t="shared" si="62"/>
        <v/>
      </c>
      <c r="BN764" s="7"/>
      <c r="BQ764" s="7"/>
    </row>
    <row r="765" spans="1:69" ht="15" customHeight="1" x14ac:dyDescent="0.3">
      <c r="A765" s="5"/>
      <c r="B765" s="5"/>
      <c r="C765" s="5"/>
      <c r="D765" s="5"/>
      <c r="F765" s="6"/>
      <c r="G765" s="4"/>
      <c r="H765" s="4"/>
      <c r="I765" s="4" t="str">
        <f t="shared" si="62"/>
        <v/>
      </c>
      <c r="BN765" s="7"/>
      <c r="BQ765" s="7"/>
    </row>
    <row r="766" spans="1:69" ht="15" customHeight="1" x14ac:dyDescent="0.3">
      <c r="A766" s="5"/>
      <c r="B766" s="5"/>
      <c r="C766" s="5"/>
      <c r="D766" s="5"/>
      <c r="F766" s="6"/>
      <c r="G766" s="4"/>
      <c r="H766" s="4"/>
      <c r="I766" s="4" t="str">
        <f t="shared" si="62"/>
        <v/>
      </c>
      <c r="BN766" s="7"/>
      <c r="BQ766" s="7"/>
    </row>
    <row r="767" spans="1:69" ht="15" customHeight="1" x14ac:dyDescent="0.3">
      <c r="A767" s="5"/>
      <c r="B767" s="5"/>
      <c r="C767" s="5"/>
      <c r="D767" s="5"/>
      <c r="F767" s="6"/>
      <c r="G767" s="4"/>
      <c r="H767" s="4"/>
      <c r="I767" s="4" t="str">
        <f t="shared" si="62"/>
        <v/>
      </c>
      <c r="BN767" s="7"/>
      <c r="BQ767" s="7"/>
    </row>
    <row r="768" spans="1:69" ht="15" customHeight="1" x14ac:dyDescent="0.3">
      <c r="A768" s="5"/>
      <c r="B768" s="5"/>
      <c r="C768" s="5"/>
      <c r="D768" s="5"/>
      <c r="F768" s="6"/>
      <c r="G768" s="4"/>
      <c r="H768" s="4"/>
      <c r="I768" s="4" t="str">
        <f t="shared" si="62"/>
        <v/>
      </c>
      <c r="BN768" s="7"/>
      <c r="BQ768" s="7"/>
    </row>
    <row r="769" spans="1:69" ht="15" customHeight="1" x14ac:dyDescent="0.3">
      <c r="A769" s="5"/>
      <c r="B769" s="5"/>
      <c r="C769" s="5"/>
      <c r="D769" s="5"/>
      <c r="F769" s="6"/>
      <c r="G769" s="4"/>
      <c r="H769" s="4"/>
      <c r="I769" s="4" t="str">
        <f t="shared" si="62"/>
        <v/>
      </c>
      <c r="BN769" s="7"/>
      <c r="BQ769" s="7"/>
    </row>
    <row r="770" spans="1:69" ht="15" customHeight="1" x14ac:dyDescent="0.3">
      <c r="A770" s="5"/>
      <c r="B770" s="5"/>
      <c r="C770" s="5"/>
      <c r="D770" s="5"/>
      <c r="F770" s="6"/>
      <c r="G770" s="4"/>
      <c r="H770" s="4"/>
      <c r="I770" s="4" t="str">
        <f t="shared" si="62"/>
        <v/>
      </c>
      <c r="BN770" s="7"/>
      <c r="BQ770" s="7"/>
    </row>
    <row r="771" spans="1:69" ht="15" customHeight="1" x14ac:dyDescent="0.3">
      <c r="A771" s="5"/>
      <c r="B771" s="5"/>
      <c r="C771" s="5"/>
      <c r="D771" s="5"/>
      <c r="F771" s="6"/>
      <c r="G771" s="4"/>
      <c r="H771" s="4"/>
      <c r="I771" s="4" t="str">
        <f t="shared" ref="I771:I834" si="63">IFERROR(MID(A771,FIND("Sorry, the entered Application Number",A771),68),"")</f>
        <v/>
      </c>
      <c r="BN771" s="7"/>
      <c r="BQ771" s="7"/>
    </row>
    <row r="772" spans="1:69" ht="15" customHeight="1" x14ac:dyDescent="0.3">
      <c r="A772" s="5"/>
      <c r="B772" s="5"/>
      <c r="C772" s="5"/>
      <c r="D772" s="5"/>
      <c r="F772" s="6"/>
      <c r="G772" s="4"/>
      <c r="H772" s="4"/>
      <c r="I772" s="4" t="str">
        <f t="shared" si="63"/>
        <v/>
      </c>
      <c r="BN772" s="7"/>
      <c r="BQ772" s="7"/>
    </row>
    <row r="773" spans="1:69" ht="15" customHeight="1" x14ac:dyDescent="0.3">
      <c r="A773" s="5"/>
      <c r="B773" s="5"/>
      <c r="C773" s="5"/>
      <c r="D773" s="5"/>
      <c r="F773" s="6"/>
      <c r="G773" s="4"/>
      <c r="H773" s="4"/>
      <c r="I773" s="4" t="str">
        <f t="shared" si="63"/>
        <v/>
      </c>
      <c r="BN773" s="7"/>
      <c r="BQ773" s="7"/>
    </row>
    <row r="774" spans="1:69" ht="15" customHeight="1" x14ac:dyDescent="0.3">
      <c r="A774" s="5"/>
      <c r="B774" s="5"/>
      <c r="C774" s="5"/>
      <c r="D774" s="5"/>
      <c r="F774" s="6"/>
      <c r="G774" s="4"/>
      <c r="H774" s="4"/>
      <c r="I774" s="4" t="str">
        <f t="shared" si="63"/>
        <v/>
      </c>
      <c r="BN774" s="7"/>
      <c r="BQ774" s="7"/>
    </row>
    <row r="775" spans="1:69" ht="15" customHeight="1" x14ac:dyDescent="0.3">
      <c r="A775" s="5"/>
      <c r="B775" s="5"/>
      <c r="C775" s="5"/>
      <c r="D775" s="5"/>
      <c r="F775" s="6"/>
      <c r="G775" s="4"/>
      <c r="H775" s="4"/>
      <c r="I775" s="4" t="str">
        <f t="shared" si="63"/>
        <v/>
      </c>
      <c r="BN775" s="7"/>
      <c r="BQ775" s="7"/>
    </row>
    <row r="776" spans="1:69" ht="15" customHeight="1" x14ac:dyDescent="0.3">
      <c r="A776" s="5"/>
      <c r="B776" s="5"/>
      <c r="C776" s="5"/>
      <c r="D776" s="5"/>
      <c r="F776" s="6"/>
      <c r="G776" s="4"/>
      <c r="H776" s="4"/>
      <c r="I776" s="4" t="str">
        <f t="shared" si="63"/>
        <v/>
      </c>
      <c r="BN776" s="7"/>
      <c r="BQ776" s="7"/>
    </row>
    <row r="777" spans="1:69" ht="15" customHeight="1" x14ac:dyDescent="0.3">
      <c r="A777" s="5"/>
      <c r="B777" s="5"/>
      <c r="C777" s="5"/>
      <c r="D777" s="5"/>
      <c r="F777" s="6"/>
      <c r="G777" s="4"/>
      <c r="H777" s="4"/>
      <c r="I777" s="4" t="str">
        <f t="shared" si="63"/>
        <v/>
      </c>
      <c r="BN777" s="7"/>
      <c r="BQ777" s="7"/>
    </row>
    <row r="778" spans="1:69" ht="15" customHeight="1" x14ac:dyDescent="0.3">
      <c r="A778" s="5"/>
      <c r="B778" s="5"/>
      <c r="C778" s="5"/>
      <c r="D778" s="5"/>
      <c r="F778" s="6"/>
      <c r="G778" s="4"/>
      <c r="H778" s="4"/>
      <c r="I778" s="4" t="str">
        <f t="shared" si="63"/>
        <v/>
      </c>
      <c r="BN778" s="7"/>
      <c r="BQ778" s="7"/>
    </row>
    <row r="779" spans="1:69" ht="15" customHeight="1" x14ac:dyDescent="0.3">
      <c r="A779" s="5"/>
      <c r="B779" s="5"/>
      <c r="C779" s="5"/>
      <c r="D779" s="5"/>
      <c r="F779" s="6"/>
      <c r="G779" s="4"/>
      <c r="H779" s="4"/>
      <c r="I779" s="4" t="str">
        <f t="shared" si="63"/>
        <v/>
      </c>
      <c r="BN779" s="7"/>
      <c r="BQ779" s="7"/>
    </row>
    <row r="780" spans="1:69" ht="15" customHeight="1" x14ac:dyDescent="0.3">
      <c r="A780" s="5"/>
      <c r="B780" s="5"/>
      <c r="C780" s="5"/>
      <c r="D780" s="5"/>
      <c r="F780" s="6"/>
      <c r="G780" s="4"/>
      <c r="H780" s="4"/>
      <c r="I780" s="4" t="str">
        <f t="shared" si="63"/>
        <v/>
      </c>
      <c r="BN780" s="7"/>
      <c r="BQ780" s="7"/>
    </row>
    <row r="781" spans="1:69" ht="15" customHeight="1" x14ac:dyDescent="0.3">
      <c r="A781" s="5"/>
      <c r="B781" s="5"/>
      <c r="C781" s="5"/>
      <c r="D781" s="5"/>
      <c r="F781" s="6"/>
      <c r="G781" s="4"/>
      <c r="H781" s="4"/>
      <c r="I781" s="4" t="str">
        <f t="shared" si="63"/>
        <v/>
      </c>
      <c r="BN781" s="7"/>
      <c r="BQ781" s="7"/>
    </row>
    <row r="782" spans="1:69" ht="15" customHeight="1" x14ac:dyDescent="0.3">
      <c r="A782" s="5"/>
      <c r="B782" s="5"/>
      <c r="C782" s="5"/>
      <c r="D782" s="5"/>
      <c r="F782" s="6"/>
      <c r="G782" s="4"/>
      <c r="H782" s="4"/>
      <c r="I782" s="4" t="str">
        <f t="shared" si="63"/>
        <v/>
      </c>
      <c r="BN782" s="7"/>
      <c r="BQ782" s="7"/>
    </row>
    <row r="783" spans="1:69" ht="15" customHeight="1" x14ac:dyDescent="0.3">
      <c r="A783" s="5"/>
      <c r="B783" s="5"/>
      <c r="C783" s="5"/>
      <c r="D783" s="5"/>
      <c r="F783" s="6"/>
      <c r="G783" s="4"/>
      <c r="H783" s="4"/>
      <c r="I783" s="4" t="str">
        <f t="shared" si="63"/>
        <v/>
      </c>
      <c r="BN783" s="7"/>
      <c r="BQ783" s="7"/>
    </row>
    <row r="784" spans="1:69" ht="15" customHeight="1" x14ac:dyDescent="0.3">
      <c r="A784" s="5"/>
      <c r="B784" s="5"/>
      <c r="C784" s="5"/>
      <c r="D784" s="5"/>
      <c r="F784" s="6"/>
      <c r="G784" s="4"/>
      <c r="H784" s="4"/>
      <c r="I784" s="4" t="str">
        <f t="shared" si="63"/>
        <v/>
      </c>
      <c r="BN784" s="7"/>
      <c r="BQ784" s="7"/>
    </row>
    <row r="785" spans="1:69" ht="15" customHeight="1" x14ac:dyDescent="0.3">
      <c r="A785" s="5"/>
      <c r="B785" s="5"/>
      <c r="C785" s="5"/>
      <c r="D785" s="5"/>
      <c r="F785" s="6"/>
      <c r="G785" s="4"/>
      <c r="H785" s="4"/>
      <c r="I785" s="4" t="str">
        <f t="shared" si="63"/>
        <v/>
      </c>
      <c r="BN785" s="7"/>
      <c r="BQ785" s="7"/>
    </row>
    <row r="786" spans="1:69" ht="15" customHeight="1" x14ac:dyDescent="0.3">
      <c r="A786" s="5"/>
      <c r="B786" s="5"/>
      <c r="C786" s="5"/>
      <c r="D786" s="5"/>
      <c r="F786" s="6"/>
      <c r="G786" s="4"/>
      <c r="H786" s="4"/>
      <c r="I786" s="4" t="str">
        <f t="shared" si="63"/>
        <v/>
      </c>
      <c r="BN786" s="7"/>
      <c r="BQ786" s="7"/>
    </row>
    <row r="787" spans="1:69" ht="15" customHeight="1" x14ac:dyDescent="0.3">
      <c r="A787" s="5"/>
      <c r="B787" s="5"/>
      <c r="C787" s="5"/>
      <c r="D787" s="5"/>
      <c r="F787" s="6"/>
      <c r="G787" s="4"/>
      <c r="H787" s="4"/>
      <c r="I787" s="4" t="str">
        <f t="shared" si="63"/>
        <v/>
      </c>
      <c r="BN787" s="7"/>
      <c r="BQ787" s="7"/>
    </row>
    <row r="788" spans="1:69" ht="15" customHeight="1" x14ac:dyDescent="0.3">
      <c r="A788" s="5"/>
      <c r="B788" s="5"/>
      <c r="C788" s="5"/>
      <c r="D788" s="5"/>
      <c r="F788" s="6"/>
      <c r="G788" s="4"/>
      <c r="H788" s="4"/>
      <c r="I788" s="4" t="str">
        <f t="shared" si="63"/>
        <v/>
      </c>
      <c r="BN788" s="7"/>
      <c r="BQ788" s="7"/>
    </row>
    <row r="789" spans="1:69" ht="15" customHeight="1" x14ac:dyDescent="0.3">
      <c r="A789" s="5"/>
      <c r="B789" s="5"/>
      <c r="C789" s="5"/>
      <c r="D789" s="5"/>
      <c r="F789" s="6"/>
      <c r="G789" s="4"/>
      <c r="H789" s="4"/>
      <c r="I789" s="4" t="str">
        <f t="shared" si="63"/>
        <v/>
      </c>
      <c r="BN789" s="7"/>
      <c r="BQ789" s="7"/>
    </row>
    <row r="790" spans="1:69" ht="15" customHeight="1" x14ac:dyDescent="0.3">
      <c r="A790" s="5"/>
      <c r="B790" s="5"/>
      <c r="C790" s="5"/>
      <c r="D790" s="5"/>
      <c r="F790" s="6"/>
      <c r="G790" s="4"/>
      <c r="H790" s="4"/>
      <c r="I790" s="4" t="str">
        <f t="shared" si="63"/>
        <v/>
      </c>
      <c r="BN790" s="7"/>
      <c r="BQ790" s="7"/>
    </row>
    <row r="791" spans="1:69" ht="15" customHeight="1" x14ac:dyDescent="0.3">
      <c r="A791" s="5"/>
      <c r="B791" s="5"/>
      <c r="C791" s="5"/>
      <c r="D791" s="5"/>
      <c r="F791" s="6"/>
      <c r="G791" s="4"/>
      <c r="H791" s="4"/>
      <c r="I791" s="4" t="str">
        <f t="shared" si="63"/>
        <v/>
      </c>
      <c r="BN791" s="7"/>
      <c r="BQ791" s="7"/>
    </row>
    <row r="792" spans="1:69" ht="15" customHeight="1" x14ac:dyDescent="0.3">
      <c r="A792" s="5"/>
      <c r="B792" s="5"/>
      <c r="C792" s="5"/>
      <c r="D792" s="5"/>
      <c r="F792" s="6"/>
      <c r="G792" s="4"/>
      <c r="H792" s="4"/>
      <c r="I792" s="4" t="str">
        <f t="shared" si="63"/>
        <v/>
      </c>
      <c r="BN792" s="7"/>
      <c r="BQ792" s="7"/>
    </row>
    <row r="793" spans="1:69" ht="15" customHeight="1" x14ac:dyDescent="0.3">
      <c r="A793" s="5"/>
      <c r="B793" s="5"/>
      <c r="C793" s="5"/>
      <c r="D793" s="5"/>
      <c r="F793" s="6"/>
      <c r="G793" s="4"/>
      <c r="H793" s="4"/>
      <c r="I793" s="4" t="str">
        <f t="shared" si="63"/>
        <v/>
      </c>
      <c r="BN793" s="7"/>
      <c r="BQ793" s="7"/>
    </row>
    <row r="794" spans="1:69" ht="15" customHeight="1" x14ac:dyDescent="0.3">
      <c r="A794" s="5"/>
      <c r="B794" s="5"/>
      <c r="C794" s="5"/>
      <c r="D794" s="5"/>
      <c r="F794" s="6"/>
      <c r="G794" s="4"/>
      <c r="H794" s="4"/>
      <c r="I794" s="4" t="str">
        <f t="shared" si="63"/>
        <v/>
      </c>
      <c r="BN794" s="7"/>
      <c r="BQ794" s="7"/>
    </row>
    <row r="795" spans="1:69" ht="15" customHeight="1" x14ac:dyDescent="0.3">
      <c r="A795" s="5"/>
      <c r="B795" s="5"/>
      <c r="C795" s="5"/>
      <c r="D795" s="5"/>
      <c r="F795" s="6"/>
      <c r="G795" s="4"/>
      <c r="H795" s="4"/>
      <c r="I795" s="4" t="str">
        <f t="shared" si="63"/>
        <v/>
      </c>
      <c r="BN795" s="7"/>
      <c r="BQ795" s="7"/>
    </row>
    <row r="796" spans="1:69" ht="15" customHeight="1" x14ac:dyDescent="0.3">
      <c r="A796" s="5"/>
      <c r="B796" s="5"/>
      <c r="C796" s="5"/>
      <c r="D796" s="5"/>
      <c r="F796" s="6"/>
      <c r="G796" s="4"/>
      <c r="H796" s="4"/>
      <c r="I796" s="4" t="str">
        <f t="shared" si="63"/>
        <v/>
      </c>
      <c r="BN796" s="7"/>
      <c r="BQ796" s="7"/>
    </row>
    <row r="797" spans="1:69" ht="15" customHeight="1" x14ac:dyDescent="0.3">
      <c r="A797" s="5"/>
      <c r="B797" s="5"/>
      <c r="C797" s="5"/>
      <c r="D797" s="5"/>
      <c r="F797" s="6"/>
      <c r="G797" s="4"/>
      <c r="H797" s="4"/>
      <c r="I797" s="4" t="str">
        <f t="shared" si="63"/>
        <v/>
      </c>
      <c r="BN797" s="7"/>
      <c r="BQ797" s="7"/>
    </row>
    <row r="798" spans="1:69" ht="15" customHeight="1" x14ac:dyDescent="0.3">
      <c r="A798" s="5"/>
      <c r="B798" s="5"/>
      <c r="C798" s="5"/>
      <c r="D798" s="5"/>
      <c r="F798" s="6"/>
      <c r="G798" s="4"/>
      <c r="H798" s="4"/>
      <c r="I798" s="4" t="str">
        <f t="shared" si="63"/>
        <v/>
      </c>
      <c r="BN798" s="7"/>
      <c r="BQ798" s="7"/>
    </row>
    <row r="799" spans="1:69" ht="15" customHeight="1" x14ac:dyDescent="0.3">
      <c r="A799" s="5"/>
      <c r="B799" s="5"/>
      <c r="C799" s="5"/>
      <c r="D799" s="5"/>
      <c r="F799" s="6"/>
      <c r="G799" s="4"/>
      <c r="H799" s="4"/>
      <c r="I799" s="4" t="str">
        <f t="shared" si="63"/>
        <v/>
      </c>
      <c r="BN799" s="7"/>
      <c r="BQ799" s="7"/>
    </row>
    <row r="800" spans="1:69" ht="15" customHeight="1" x14ac:dyDescent="0.3">
      <c r="A800" s="5"/>
      <c r="B800" s="5"/>
      <c r="C800" s="5"/>
      <c r="D800" s="5"/>
      <c r="F800" s="6"/>
      <c r="G800" s="4"/>
      <c r="H800" s="4"/>
      <c r="I800" s="4" t="str">
        <f t="shared" si="63"/>
        <v/>
      </c>
      <c r="BN800" s="7"/>
      <c r="BQ800" s="7"/>
    </row>
    <row r="801" spans="1:69" ht="15" customHeight="1" x14ac:dyDescent="0.3">
      <c r="A801" s="5"/>
      <c r="B801" s="5"/>
      <c r="C801" s="5"/>
      <c r="D801" s="5"/>
      <c r="F801" s="6"/>
      <c r="G801" s="4"/>
      <c r="H801" s="4"/>
      <c r="I801" s="4" t="str">
        <f t="shared" si="63"/>
        <v/>
      </c>
      <c r="BN801" s="7"/>
      <c r="BQ801" s="7"/>
    </row>
    <row r="802" spans="1:69" ht="15" customHeight="1" x14ac:dyDescent="0.3">
      <c r="A802" s="5"/>
      <c r="B802" s="5"/>
      <c r="C802" s="5"/>
      <c r="D802" s="5"/>
      <c r="F802" s="6"/>
      <c r="G802" s="4"/>
      <c r="H802" s="4"/>
      <c r="I802" s="4" t="str">
        <f t="shared" si="63"/>
        <v/>
      </c>
      <c r="BN802" s="7"/>
      <c r="BQ802" s="7"/>
    </row>
    <row r="803" spans="1:69" ht="15" customHeight="1" x14ac:dyDescent="0.3">
      <c r="A803" s="5"/>
      <c r="B803" s="5"/>
      <c r="C803" s="5"/>
      <c r="D803" s="5"/>
      <c r="F803" s="6"/>
      <c r="G803" s="4"/>
      <c r="H803" s="4"/>
      <c r="I803" s="4" t="str">
        <f t="shared" si="63"/>
        <v/>
      </c>
      <c r="BN803" s="7"/>
      <c r="BQ803" s="7"/>
    </row>
    <row r="804" spans="1:69" ht="15" customHeight="1" x14ac:dyDescent="0.3">
      <c r="A804" s="5"/>
      <c r="B804" s="5"/>
      <c r="C804" s="5"/>
      <c r="D804" s="5"/>
      <c r="F804" s="6"/>
      <c r="G804" s="4"/>
      <c r="H804" s="4"/>
      <c r="I804" s="4" t="str">
        <f t="shared" si="63"/>
        <v/>
      </c>
      <c r="BN804" s="7"/>
      <c r="BQ804" s="7"/>
    </row>
    <row r="805" spans="1:69" ht="15" customHeight="1" x14ac:dyDescent="0.3">
      <c r="A805" s="5"/>
      <c r="B805" s="5"/>
      <c r="C805" s="5"/>
      <c r="D805" s="5"/>
      <c r="F805" s="6"/>
      <c r="G805" s="4"/>
      <c r="H805" s="4"/>
      <c r="I805" s="4" t="str">
        <f t="shared" si="63"/>
        <v/>
      </c>
      <c r="BN805" s="7"/>
      <c r="BQ805" s="7"/>
    </row>
    <row r="806" spans="1:69" ht="15" customHeight="1" x14ac:dyDescent="0.3">
      <c r="A806" s="5"/>
      <c r="B806" s="5"/>
      <c r="C806" s="5"/>
      <c r="D806" s="5"/>
      <c r="F806" s="6"/>
      <c r="G806" s="4"/>
      <c r="H806" s="4"/>
      <c r="I806" s="4" t="str">
        <f t="shared" si="63"/>
        <v/>
      </c>
      <c r="BN806" s="7"/>
      <c r="BQ806" s="7"/>
    </row>
    <row r="807" spans="1:69" ht="15" customHeight="1" x14ac:dyDescent="0.3">
      <c r="A807" s="5"/>
      <c r="B807" s="5"/>
      <c r="C807" s="5"/>
      <c r="D807" s="5"/>
      <c r="F807" s="6"/>
      <c r="G807" s="4"/>
      <c r="H807" s="4"/>
      <c r="I807" s="4" t="str">
        <f t="shared" si="63"/>
        <v/>
      </c>
      <c r="BN807" s="7"/>
      <c r="BQ807" s="7"/>
    </row>
    <row r="808" spans="1:69" ht="15" customHeight="1" x14ac:dyDescent="0.3">
      <c r="A808" s="5"/>
      <c r="B808" s="5"/>
      <c r="C808" s="5"/>
      <c r="D808" s="5"/>
      <c r="F808" s="6"/>
      <c r="G808" s="4"/>
      <c r="H808" s="4"/>
      <c r="I808" s="4" t="str">
        <f t="shared" si="63"/>
        <v/>
      </c>
      <c r="BN808" s="7"/>
      <c r="BQ808" s="7"/>
    </row>
    <row r="809" spans="1:69" ht="15" customHeight="1" x14ac:dyDescent="0.3">
      <c r="A809" s="5"/>
      <c r="B809" s="5"/>
      <c r="C809" s="5"/>
      <c r="D809" s="5"/>
      <c r="F809" s="6"/>
      <c r="G809" s="4"/>
      <c r="H809" s="4"/>
      <c r="I809" s="4" t="str">
        <f t="shared" si="63"/>
        <v/>
      </c>
      <c r="BN809" s="7"/>
      <c r="BQ809" s="7"/>
    </row>
    <row r="810" spans="1:69" ht="15" customHeight="1" x14ac:dyDescent="0.3">
      <c r="A810" s="5"/>
      <c r="B810" s="5"/>
      <c r="C810" s="5"/>
      <c r="D810" s="5"/>
      <c r="F810" s="6"/>
      <c r="G810" s="4"/>
      <c r="H810" s="4"/>
      <c r="I810" s="4" t="str">
        <f t="shared" si="63"/>
        <v/>
      </c>
      <c r="BN810" s="7"/>
      <c r="BQ810" s="7"/>
    </row>
    <row r="811" spans="1:69" ht="15" customHeight="1" x14ac:dyDescent="0.3">
      <c r="A811" s="5"/>
      <c r="B811" s="5"/>
      <c r="C811" s="5"/>
      <c r="D811" s="5"/>
      <c r="F811" s="6"/>
      <c r="G811" s="4"/>
      <c r="H811" s="4"/>
      <c r="I811" s="4" t="str">
        <f t="shared" si="63"/>
        <v/>
      </c>
      <c r="BN811" s="7"/>
      <c r="BQ811" s="7"/>
    </row>
    <row r="812" spans="1:69" ht="15" customHeight="1" x14ac:dyDescent="0.3">
      <c r="A812" s="5"/>
      <c r="B812" s="5"/>
      <c r="C812" s="5"/>
      <c r="D812" s="5"/>
      <c r="F812" s="6"/>
      <c r="G812" s="4"/>
      <c r="H812" s="4"/>
      <c r="I812" s="4" t="str">
        <f t="shared" si="63"/>
        <v/>
      </c>
      <c r="BN812" s="7"/>
      <c r="BQ812" s="7"/>
    </row>
    <row r="813" spans="1:69" ht="15" customHeight="1" x14ac:dyDescent="0.3">
      <c r="A813" s="5"/>
      <c r="B813" s="5"/>
      <c r="C813" s="5"/>
      <c r="D813" s="5"/>
      <c r="F813" s="6"/>
      <c r="G813" s="4"/>
      <c r="H813" s="4"/>
      <c r="I813" s="4" t="str">
        <f t="shared" si="63"/>
        <v/>
      </c>
      <c r="BN813" s="7"/>
      <c r="BQ813" s="7"/>
    </row>
    <row r="814" spans="1:69" ht="15" customHeight="1" x14ac:dyDescent="0.3">
      <c r="A814" s="5"/>
      <c r="B814" s="5"/>
      <c r="C814" s="5"/>
      <c r="D814" s="5"/>
      <c r="F814" s="6"/>
      <c r="G814" s="4"/>
      <c r="H814" s="4"/>
      <c r="I814" s="4" t="str">
        <f t="shared" si="63"/>
        <v/>
      </c>
      <c r="BN814" s="7"/>
      <c r="BQ814" s="7"/>
    </row>
    <row r="815" spans="1:69" ht="15" customHeight="1" x14ac:dyDescent="0.3">
      <c r="A815" s="5"/>
      <c r="B815" s="5"/>
      <c r="C815" s="5"/>
      <c r="D815" s="5"/>
      <c r="F815" s="6"/>
      <c r="G815" s="4"/>
      <c r="H815" s="4"/>
      <c r="I815" s="4" t="str">
        <f t="shared" si="63"/>
        <v/>
      </c>
      <c r="BN815" s="7"/>
      <c r="BQ815" s="7"/>
    </row>
    <row r="816" spans="1:69" ht="15" customHeight="1" x14ac:dyDescent="0.3">
      <c r="A816" s="5"/>
      <c r="B816" s="5"/>
      <c r="C816" s="5"/>
      <c r="D816" s="5"/>
      <c r="F816" s="6"/>
      <c r="G816" s="4"/>
      <c r="H816" s="4"/>
      <c r="I816" s="4" t="str">
        <f t="shared" si="63"/>
        <v/>
      </c>
      <c r="BN816" s="7"/>
      <c r="BQ816" s="7"/>
    </row>
    <row r="817" spans="1:69" ht="15" customHeight="1" x14ac:dyDescent="0.3">
      <c r="A817" s="5"/>
      <c r="B817" s="5"/>
      <c r="C817" s="5"/>
      <c r="D817" s="5"/>
      <c r="F817" s="6"/>
      <c r="G817" s="4"/>
      <c r="H817" s="4"/>
      <c r="I817" s="4" t="str">
        <f t="shared" si="63"/>
        <v/>
      </c>
      <c r="BN817" s="7"/>
      <c r="BQ817" s="7"/>
    </row>
    <row r="818" spans="1:69" ht="15" customHeight="1" x14ac:dyDescent="0.3">
      <c r="A818" s="5"/>
      <c r="B818" s="5"/>
      <c r="C818" s="5"/>
      <c r="D818" s="5"/>
      <c r="F818" s="6"/>
      <c r="G818" s="4"/>
      <c r="H818" s="4"/>
      <c r="I818" s="4" t="str">
        <f t="shared" si="63"/>
        <v/>
      </c>
      <c r="BN818" s="7"/>
      <c r="BQ818" s="7"/>
    </row>
    <row r="819" spans="1:69" ht="15" customHeight="1" x14ac:dyDescent="0.3">
      <c r="A819" s="5"/>
      <c r="B819" s="5"/>
      <c r="C819" s="5"/>
      <c r="D819" s="5"/>
      <c r="F819" s="6"/>
      <c r="G819" s="4"/>
      <c r="H819" s="4"/>
      <c r="I819" s="4" t="str">
        <f t="shared" si="63"/>
        <v/>
      </c>
      <c r="BN819" s="7"/>
      <c r="BQ819" s="7"/>
    </row>
    <row r="820" spans="1:69" ht="15" customHeight="1" x14ac:dyDescent="0.3">
      <c r="A820" s="5"/>
      <c r="B820" s="5"/>
      <c r="C820" s="5"/>
      <c r="D820" s="5"/>
      <c r="F820" s="6"/>
      <c r="G820" s="4"/>
      <c r="H820" s="4"/>
      <c r="I820" s="4" t="str">
        <f t="shared" si="63"/>
        <v/>
      </c>
      <c r="BN820" s="7"/>
      <c r="BQ820" s="7"/>
    </row>
    <row r="821" spans="1:69" ht="15" customHeight="1" x14ac:dyDescent="0.3">
      <c r="A821" s="5"/>
      <c r="B821" s="5"/>
      <c r="C821" s="5"/>
      <c r="D821" s="5"/>
      <c r="F821" s="6"/>
      <c r="G821" s="4"/>
      <c r="H821" s="4"/>
      <c r="I821" s="4" t="str">
        <f t="shared" si="63"/>
        <v/>
      </c>
      <c r="BN821" s="7"/>
      <c r="BQ821" s="7"/>
    </row>
    <row r="822" spans="1:69" ht="15" customHeight="1" x14ac:dyDescent="0.3">
      <c r="A822" s="5"/>
      <c r="B822" s="5"/>
      <c r="C822" s="5"/>
      <c r="D822" s="5"/>
      <c r="F822" s="6"/>
      <c r="G822" s="4"/>
      <c r="H822" s="4"/>
      <c r="I822" s="4" t="str">
        <f t="shared" si="63"/>
        <v/>
      </c>
      <c r="BN822" s="7"/>
      <c r="BQ822" s="7"/>
    </row>
    <row r="823" spans="1:69" ht="15" customHeight="1" x14ac:dyDescent="0.3">
      <c r="A823" s="5"/>
      <c r="B823" s="5"/>
      <c r="C823" s="5"/>
      <c r="D823" s="5"/>
      <c r="F823" s="6"/>
      <c r="G823" s="4"/>
      <c r="H823" s="4"/>
      <c r="I823" s="4" t="str">
        <f t="shared" si="63"/>
        <v/>
      </c>
      <c r="BN823" s="7"/>
      <c r="BQ823" s="7"/>
    </row>
    <row r="824" spans="1:69" ht="15" customHeight="1" x14ac:dyDescent="0.3">
      <c r="A824" s="5"/>
      <c r="B824" s="5"/>
      <c r="C824" s="5"/>
      <c r="D824" s="5"/>
      <c r="F824" s="6"/>
      <c r="G824" s="4"/>
      <c r="H824" s="4"/>
      <c r="I824" s="4" t="str">
        <f t="shared" si="63"/>
        <v/>
      </c>
      <c r="BN824" s="7"/>
      <c r="BQ824" s="7"/>
    </row>
    <row r="825" spans="1:69" ht="15" customHeight="1" x14ac:dyDescent="0.3">
      <c r="A825" s="5"/>
      <c r="B825" s="5"/>
      <c r="C825" s="5"/>
      <c r="D825" s="5"/>
      <c r="F825" s="6"/>
      <c r="G825" s="4"/>
      <c r="H825" s="4"/>
      <c r="I825" s="4" t="str">
        <f t="shared" si="63"/>
        <v/>
      </c>
      <c r="BN825" s="7"/>
      <c r="BQ825" s="7"/>
    </row>
    <row r="826" spans="1:69" ht="15" customHeight="1" x14ac:dyDescent="0.3">
      <c r="A826" s="5"/>
      <c r="B826" s="5"/>
      <c r="C826" s="5"/>
      <c r="D826" s="5"/>
      <c r="F826" s="6"/>
      <c r="G826" s="4"/>
      <c r="H826" s="4"/>
      <c r="I826" s="4" t="str">
        <f t="shared" si="63"/>
        <v/>
      </c>
      <c r="BN826" s="7"/>
      <c r="BQ826" s="7"/>
    </row>
    <row r="827" spans="1:69" ht="15" customHeight="1" x14ac:dyDescent="0.3">
      <c r="A827" s="5"/>
      <c r="B827" s="5"/>
      <c r="C827" s="5"/>
      <c r="D827" s="5"/>
      <c r="F827" s="6"/>
      <c r="G827" s="4"/>
      <c r="H827" s="4"/>
      <c r="I827" s="4" t="str">
        <f t="shared" si="63"/>
        <v/>
      </c>
      <c r="BN827" s="7"/>
      <c r="BQ827" s="7"/>
    </row>
    <row r="828" spans="1:69" ht="15" customHeight="1" x14ac:dyDescent="0.3">
      <c r="A828" s="5"/>
      <c r="B828" s="5"/>
      <c r="C828" s="5"/>
      <c r="D828" s="5"/>
      <c r="F828" s="6"/>
      <c r="G828" s="4"/>
      <c r="H828" s="4"/>
      <c r="I828" s="4" t="str">
        <f t="shared" si="63"/>
        <v/>
      </c>
      <c r="BN828" s="7"/>
      <c r="BQ828" s="7"/>
    </row>
    <row r="829" spans="1:69" ht="15" customHeight="1" x14ac:dyDescent="0.3">
      <c r="A829" s="5"/>
      <c r="B829" s="5"/>
      <c r="C829" s="5"/>
      <c r="D829" s="5"/>
      <c r="F829" s="6"/>
      <c r="G829" s="4"/>
      <c r="H829" s="4"/>
      <c r="I829" s="4" t="str">
        <f t="shared" si="63"/>
        <v/>
      </c>
      <c r="BN829" s="7"/>
      <c r="BQ829" s="7"/>
    </row>
    <row r="830" spans="1:69" ht="15" customHeight="1" x14ac:dyDescent="0.3">
      <c r="A830" s="5"/>
      <c r="B830" s="5"/>
      <c r="C830" s="5"/>
      <c r="D830" s="5"/>
      <c r="F830" s="6"/>
      <c r="G830" s="4"/>
      <c r="H830" s="4"/>
      <c r="I830" s="4" t="str">
        <f t="shared" si="63"/>
        <v/>
      </c>
      <c r="BN830" s="7"/>
      <c r="BQ830" s="7"/>
    </row>
    <row r="831" spans="1:69" ht="15" customHeight="1" x14ac:dyDescent="0.3">
      <c r="A831" s="5"/>
      <c r="B831" s="5"/>
      <c r="C831" s="5"/>
      <c r="D831" s="5"/>
      <c r="F831" s="6"/>
      <c r="G831" s="4"/>
      <c r="H831" s="4"/>
      <c r="I831" s="4" t="str">
        <f t="shared" si="63"/>
        <v/>
      </c>
      <c r="BN831" s="7"/>
      <c r="BQ831" s="7"/>
    </row>
    <row r="832" spans="1:69" ht="15" customHeight="1" x14ac:dyDescent="0.3">
      <c r="A832" s="5"/>
      <c r="B832" s="5"/>
      <c r="C832" s="5"/>
      <c r="D832" s="5"/>
      <c r="F832" s="6"/>
      <c r="G832" s="4"/>
      <c r="H832" s="4"/>
      <c r="I832" s="4" t="str">
        <f t="shared" si="63"/>
        <v/>
      </c>
      <c r="BN832" s="7"/>
      <c r="BQ832" s="7"/>
    </row>
    <row r="833" spans="1:69" ht="15" customHeight="1" x14ac:dyDescent="0.3">
      <c r="A833" s="5"/>
      <c r="B833" s="5"/>
      <c r="C833" s="5"/>
      <c r="D833" s="5"/>
      <c r="F833" s="6"/>
      <c r="G833" s="4"/>
      <c r="H833" s="4"/>
      <c r="I833" s="4" t="str">
        <f t="shared" si="63"/>
        <v/>
      </c>
      <c r="BN833" s="7"/>
      <c r="BQ833" s="7"/>
    </row>
    <row r="834" spans="1:69" ht="15" customHeight="1" x14ac:dyDescent="0.3">
      <c r="A834" s="5"/>
      <c r="B834" s="5"/>
      <c r="C834" s="5"/>
      <c r="D834" s="5"/>
      <c r="F834" s="6"/>
      <c r="G834" s="4"/>
      <c r="H834" s="4"/>
      <c r="I834" s="4" t="str">
        <f t="shared" si="63"/>
        <v/>
      </c>
      <c r="BN834" s="7"/>
      <c r="BQ834" s="7"/>
    </row>
    <row r="835" spans="1:69" ht="15" customHeight="1" x14ac:dyDescent="0.3">
      <c r="A835" s="5"/>
      <c r="B835" s="5"/>
      <c r="C835" s="5"/>
      <c r="D835" s="5"/>
      <c r="F835" s="6"/>
      <c r="G835" s="4"/>
      <c r="H835" s="4"/>
      <c r="I835" s="4" t="str">
        <f t="shared" ref="I835:I898" si="64">IFERROR(MID(A835,FIND("Sorry, the entered Application Number",A835),68),"")</f>
        <v/>
      </c>
      <c r="BN835" s="7"/>
      <c r="BQ835" s="7"/>
    </row>
    <row r="836" spans="1:69" ht="15" customHeight="1" x14ac:dyDescent="0.3">
      <c r="A836" s="5"/>
      <c r="B836" s="5"/>
      <c r="C836" s="5"/>
      <c r="D836" s="5"/>
      <c r="F836" s="6"/>
      <c r="G836" s="4"/>
      <c r="H836" s="4"/>
      <c r="I836" s="4" t="str">
        <f t="shared" si="64"/>
        <v/>
      </c>
      <c r="BN836" s="7"/>
      <c r="BQ836" s="7"/>
    </row>
    <row r="837" spans="1:69" ht="15" customHeight="1" x14ac:dyDescent="0.3">
      <c r="A837" s="5"/>
      <c r="B837" s="5"/>
      <c r="C837" s="5"/>
      <c r="D837" s="5"/>
      <c r="F837" s="6"/>
      <c r="G837" s="4"/>
      <c r="H837" s="4"/>
      <c r="I837" s="4" t="str">
        <f t="shared" si="64"/>
        <v/>
      </c>
      <c r="BN837" s="7"/>
      <c r="BQ837" s="7"/>
    </row>
    <row r="838" spans="1:69" ht="15" customHeight="1" x14ac:dyDescent="0.3">
      <c r="A838" s="5"/>
      <c r="B838" s="5"/>
      <c r="C838" s="5"/>
      <c r="D838" s="5"/>
      <c r="F838" s="6"/>
      <c r="G838" s="4"/>
      <c r="H838" s="4"/>
      <c r="I838" s="4" t="str">
        <f t="shared" si="64"/>
        <v/>
      </c>
      <c r="BN838" s="7"/>
      <c r="BQ838" s="7"/>
    </row>
    <row r="839" spans="1:69" ht="15" customHeight="1" x14ac:dyDescent="0.3">
      <c r="A839" s="5"/>
      <c r="B839" s="5"/>
      <c r="C839" s="5"/>
      <c r="D839" s="5"/>
      <c r="F839" s="6"/>
      <c r="G839" s="4"/>
      <c r="H839" s="4"/>
      <c r="I839" s="4" t="str">
        <f t="shared" si="64"/>
        <v/>
      </c>
      <c r="BN839" s="7"/>
      <c r="BQ839" s="7"/>
    </row>
    <row r="840" spans="1:69" ht="15" customHeight="1" x14ac:dyDescent="0.3">
      <c r="A840" s="5"/>
      <c r="B840" s="5"/>
      <c r="C840" s="5"/>
      <c r="D840" s="5"/>
      <c r="F840" s="6"/>
      <c r="G840" s="4"/>
      <c r="H840" s="4"/>
      <c r="I840" s="4" t="str">
        <f t="shared" si="64"/>
        <v/>
      </c>
      <c r="BN840" s="7"/>
      <c r="BQ840" s="7"/>
    </row>
    <row r="841" spans="1:69" ht="15" customHeight="1" x14ac:dyDescent="0.3">
      <c r="A841" s="5"/>
      <c r="B841" s="5"/>
      <c r="C841" s="5"/>
      <c r="D841" s="5"/>
      <c r="F841" s="6"/>
      <c r="G841" s="4"/>
      <c r="H841" s="4"/>
      <c r="I841" s="4" t="str">
        <f t="shared" si="64"/>
        <v/>
      </c>
      <c r="BN841" s="7"/>
      <c r="BQ841" s="7"/>
    </row>
    <row r="842" spans="1:69" ht="15" customHeight="1" x14ac:dyDescent="0.3">
      <c r="A842" s="5"/>
      <c r="B842" s="5"/>
      <c r="C842" s="5"/>
      <c r="D842" s="5"/>
      <c r="F842" s="6"/>
      <c r="G842" s="4"/>
      <c r="H842" s="4"/>
      <c r="I842" s="4" t="str">
        <f t="shared" si="64"/>
        <v/>
      </c>
      <c r="BN842" s="7"/>
      <c r="BQ842" s="7"/>
    </row>
    <row r="843" spans="1:69" ht="15" customHeight="1" x14ac:dyDescent="0.3">
      <c r="A843" s="5"/>
      <c r="B843" s="5"/>
      <c r="C843" s="5"/>
      <c r="D843" s="5"/>
      <c r="F843" s="6"/>
      <c r="G843" s="4"/>
      <c r="H843" s="4"/>
      <c r="I843" s="4" t="str">
        <f t="shared" si="64"/>
        <v/>
      </c>
      <c r="BN843" s="7"/>
      <c r="BQ843" s="7"/>
    </row>
    <row r="844" spans="1:69" ht="15" customHeight="1" x14ac:dyDescent="0.3">
      <c r="A844" s="5"/>
      <c r="B844" s="5"/>
      <c r="C844" s="5"/>
      <c r="D844" s="5"/>
      <c r="F844" s="6"/>
      <c r="G844" s="4"/>
      <c r="H844" s="4"/>
      <c r="I844" s="4" t="str">
        <f t="shared" si="64"/>
        <v/>
      </c>
      <c r="BN844" s="7"/>
      <c r="BQ844" s="7"/>
    </row>
    <row r="845" spans="1:69" ht="15" customHeight="1" x14ac:dyDescent="0.3">
      <c r="A845" s="5"/>
      <c r="B845" s="5"/>
      <c r="C845" s="5"/>
      <c r="D845" s="5"/>
      <c r="F845" s="6"/>
      <c r="G845" s="4"/>
      <c r="H845" s="4"/>
      <c r="I845" s="4" t="str">
        <f t="shared" si="64"/>
        <v/>
      </c>
      <c r="BN845" s="7"/>
      <c r="BQ845" s="7"/>
    </row>
    <row r="846" spans="1:69" ht="15" customHeight="1" x14ac:dyDescent="0.3">
      <c r="A846" s="5"/>
      <c r="B846" s="5"/>
      <c r="C846" s="5"/>
      <c r="D846" s="5"/>
      <c r="F846" s="6"/>
      <c r="G846" s="4"/>
      <c r="H846" s="4"/>
      <c r="I846" s="4" t="str">
        <f t="shared" si="64"/>
        <v/>
      </c>
      <c r="BN846" s="7"/>
      <c r="BQ846" s="7"/>
    </row>
    <row r="847" spans="1:69" ht="15" customHeight="1" x14ac:dyDescent="0.3">
      <c r="A847" s="5"/>
      <c r="B847" s="5"/>
      <c r="C847" s="5"/>
      <c r="D847" s="5"/>
      <c r="F847" s="6"/>
      <c r="G847" s="4"/>
      <c r="H847" s="4"/>
      <c r="I847" s="4" t="str">
        <f t="shared" si="64"/>
        <v/>
      </c>
      <c r="BN847" s="7"/>
      <c r="BQ847" s="7"/>
    </row>
    <row r="848" spans="1:69" ht="15" customHeight="1" x14ac:dyDescent="0.3">
      <c r="A848" s="5"/>
      <c r="B848" s="5"/>
      <c r="C848" s="5"/>
      <c r="D848" s="5"/>
      <c r="F848" s="6"/>
      <c r="G848" s="4"/>
      <c r="H848" s="4"/>
      <c r="I848" s="4" t="str">
        <f t="shared" si="64"/>
        <v/>
      </c>
      <c r="BN848" s="7"/>
      <c r="BQ848" s="7"/>
    </row>
    <row r="849" spans="1:69" ht="15" customHeight="1" x14ac:dyDescent="0.3">
      <c r="A849" s="5"/>
      <c r="B849" s="5"/>
      <c r="C849" s="5"/>
      <c r="D849" s="5"/>
      <c r="F849" s="6"/>
      <c r="G849" s="4"/>
      <c r="H849" s="4"/>
      <c r="I849" s="4" t="str">
        <f t="shared" si="64"/>
        <v/>
      </c>
      <c r="BN849" s="7"/>
      <c r="BQ849" s="7"/>
    </row>
    <row r="850" spans="1:69" ht="15" customHeight="1" x14ac:dyDescent="0.3">
      <c r="A850" s="5"/>
      <c r="B850" s="5"/>
      <c r="C850" s="5"/>
      <c r="D850" s="5"/>
      <c r="F850" s="6"/>
      <c r="G850" s="4"/>
      <c r="H850" s="4"/>
      <c r="I850" s="4" t="str">
        <f t="shared" si="64"/>
        <v/>
      </c>
      <c r="BN850" s="7"/>
      <c r="BQ850" s="7"/>
    </row>
    <row r="851" spans="1:69" ht="15" customHeight="1" x14ac:dyDescent="0.3">
      <c r="A851" s="5"/>
      <c r="B851" s="5"/>
      <c r="C851" s="5"/>
      <c r="D851" s="5"/>
      <c r="F851" s="6"/>
      <c r="G851" s="4"/>
      <c r="H851" s="4"/>
      <c r="I851" s="4" t="str">
        <f t="shared" si="64"/>
        <v/>
      </c>
      <c r="BN851" s="7"/>
      <c r="BQ851" s="7"/>
    </row>
    <row r="852" spans="1:69" ht="15" customHeight="1" x14ac:dyDescent="0.3">
      <c r="A852" s="5"/>
      <c r="B852" s="5"/>
      <c r="C852" s="5"/>
      <c r="D852" s="5"/>
      <c r="F852" s="6"/>
      <c r="G852" s="4"/>
      <c r="H852" s="4"/>
      <c r="I852" s="4" t="str">
        <f t="shared" si="64"/>
        <v/>
      </c>
      <c r="BN852" s="7"/>
      <c r="BQ852" s="7"/>
    </row>
    <row r="853" spans="1:69" ht="15" customHeight="1" x14ac:dyDescent="0.3">
      <c r="A853" s="5"/>
      <c r="B853" s="5"/>
      <c r="C853" s="5"/>
      <c r="D853" s="5"/>
      <c r="F853" s="6"/>
      <c r="G853" s="4"/>
      <c r="H853" s="4"/>
      <c r="I853" s="4" t="str">
        <f t="shared" si="64"/>
        <v/>
      </c>
      <c r="BN853" s="7"/>
      <c r="BQ853" s="7"/>
    </row>
    <row r="854" spans="1:69" ht="15" customHeight="1" x14ac:dyDescent="0.3">
      <c r="A854" s="5"/>
      <c r="B854" s="5"/>
      <c r="C854" s="5"/>
      <c r="D854" s="5"/>
      <c r="F854" s="6"/>
      <c r="G854" s="4"/>
      <c r="H854" s="4"/>
      <c r="I854" s="4" t="str">
        <f t="shared" si="64"/>
        <v/>
      </c>
      <c r="BN854" s="7"/>
      <c r="BQ854" s="7"/>
    </row>
    <row r="855" spans="1:69" ht="15" customHeight="1" x14ac:dyDescent="0.3">
      <c r="A855" s="5"/>
      <c r="B855" s="5"/>
      <c r="C855" s="5"/>
      <c r="D855" s="5"/>
      <c r="F855" s="6"/>
      <c r="G855" s="4"/>
      <c r="H855" s="4"/>
      <c r="I855" s="4" t="str">
        <f t="shared" si="64"/>
        <v/>
      </c>
      <c r="BN855" s="7"/>
      <c r="BQ855" s="7"/>
    </row>
    <row r="856" spans="1:69" ht="15" customHeight="1" x14ac:dyDescent="0.3">
      <c r="A856" s="5"/>
      <c r="B856" s="5"/>
      <c r="C856" s="5"/>
      <c r="D856" s="5"/>
      <c r="F856" s="6"/>
      <c r="G856" s="4"/>
      <c r="H856" s="4"/>
      <c r="I856" s="4" t="str">
        <f t="shared" si="64"/>
        <v/>
      </c>
      <c r="BN856" s="7"/>
      <c r="BQ856" s="7"/>
    </row>
    <row r="857" spans="1:69" ht="15" customHeight="1" x14ac:dyDescent="0.3">
      <c r="A857" s="5"/>
      <c r="B857" s="5"/>
      <c r="C857" s="5"/>
      <c r="D857" s="5"/>
      <c r="F857" s="6"/>
      <c r="G857" s="4"/>
      <c r="H857" s="4"/>
      <c r="I857" s="4" t="str">
        <f t="shared" si="64"/>
        <v/>
      </c>
      <c r="BN857" s="7"/>
      <c r="BQ857" s="7"/>
    </row>
    <row r="858" spans="1:69" ht="15" customHeight="1" x14ac:dyDescent="0.3">
      <c r="A858" s="5"/>
      <c r="B858" s="5"/>
      <c r="C858" s="5"/>
      <c r="D858" s="5"/>
      <c r="F858" s="6"/>
      <c r="G858" s="4"/>
      <c r="H858" s="4"/>
      <c r="I858" s="4" t="str">
        <f t="shared" si="64"/>
        <v/>
      </c>
      <c r="BN858" s="7"/>
      <c r="BQ858" s="7"/>
    </row>
    <row r="859" spans="1:69" ht="15" customHeight="1" x14ac:dyDescent="0.3">
      <c r="A859" s="5"/>
      <c r="B859" s="5"/>
      <c r="C859" s="5"/>
      <c r="D859" s="5"/>
      <c r="F859" s="6"/>
      <c r="G859" s="4"/>
      <c r="H859" s="4"/>
      <c r="I859" s="4" t="str">
        <f t="shared" si="64"/>
        <v/>
      </c>
      <c r="BN859" s="7"/>
      <c r="BQ859" s="7"/>
    </row>
    <row r="860" spans="1:69" ht="15" customHeight="1" x14ac:dyDescent="0.3">
      <c r="A860" s="5"/>
      <c r="B860" s="5"/>
      <c r="C860" s="5"/>
      <c r="D860" s="5"/>
      <c r="F860" s="6"/>
      <c r="G860" s="4"/>
      <c r="H860" s="4"/>
      <c r="I860" s="4" t="str">
        <f t="shared" si="64"/>
        <v/>
      </c>
      <c r="BN860" s="7"/>
      <c r="BQ860" s="7"/>
    </row>
    <row r="861" spans="1:69" ht="15" customHeight="1" x14ac:dyDescent="0.3">
      <c r="A861" s="5"/>
      <c r="B861" s="5"/>
      <c r="C861" s="5"/>
      <c r="D861" s="5"/>
      <c r="F861" s="6"/>
      <c r="G861" s="4"/>
      <c r="H861" s="4"/>
      <c r="I861" s="4" t="str">
        <f t="shared" si="64"/>
        <v/>
      </c>
      <c r="BN861" s="7"/>
      <c r="BQ861" s="7"/>
    </row>
    <row r="862" spans="1:69" ht="15" customHeight="1" x14ac:dyDescent="0.3">
      <c r="A862" s="5"/>
      <c r="B862" s="5"/>
      <c r="C862" s="5"/>
      <c r="D862" s="5"/>
      <c r="F862" s="6"/>
      <c r="G862" s="4"/>
      <c r="H862" s="4"/>
      <c r="I862" s="4" t="str">
        <f t="shared" si="64"/>
        <v/>
      </c>
      <c r="BN862" s="7"/>
      <c r="BQ862" s="7"/>
    </row>
    <row r="863" spans="1:69" ht="15" customHeight="1" x14ac:dyDescent="0.3">
      <c r="A863" s="5"/>
      <c r="B863" s="5"/>
      <c r="C863" s="5"/>
      <c r="D863" s="5"/>
      <c r="F863" s="6"/>
      <c r="G863" s="4"/>
      <c r="H863" s="4"/>
      <c r="I863" s="4" t="str">
        <f t="shared" si="64"/>
        <v/>
      </c>
      <c r="BN863" s="7"/>
      <c r="BQ863" s="7"/>
    </row>
    <row r="864" spans="1:69" ht="15" customHeight="1" x14ac:dyDescent="0.3">
      <c r="A864" s="5"/>
      <c r="B864" s="5"/>
      <c r="C864" s="5"/>
      <c r="D864" s="5"/>
      <c r="F864" s="6"/>
      <c r="G864" s="4"/>
      <c r="H864" s="4"/>
      <c r="I864" s="4" t="str">
        <f t="shared" si="64"/>
        <v/>
      </c>
      <c r="BN864" s="7"/>
      <c r="BQ864" s="7"/>
    </row>
    <row r="865" spans="1:69" ht="15" customHeight="1" x14ac:dyDescent="0.3">
      <c r="A865" s="5"/>
      <c r="B865" s="5"/>
      <c r="C865" s="5"/>
      <c r="D865" s="5"/>
      <c r="F865" s="6"/>
      <c r="G865" s="4"/>
      <c r="H865" s="4"/>
      <c r="I865" s="4" t="str">
        <f t="shared" si="64"/>
        <v/>
      </c>
      <c r="BN865" s="7"/>
      <c r="BQ865" s="7"/>
    </row>
    <row r="866" spans="1:69" ht="15" customHeight="1" x14ac:dyDescent="0.3">
      <c r="A866" s="5"/>
      <c r="B866" s="5"/>
      <c r="C866" s="5"/>
      <c r="D866" s="5"/>
      <c r="F866" s="6"/>
      <c r="G866" s="4"/>
      <c r="H866" s="4"/>
      <c r="I866" s="4" t="str">
        <f t="shared" si="64"/>
        <v/>
      </c>
      <c r="BN866" s="7"/>
      <c r="BQ866" s="7"/>
    </row>
    <row r="867" spans="1:69" ht="15" customHeight="1" x14ac:dyDescent="0.3">
      <c r="A867" s="5"/>
      <c r="B867" s="5"/>
      <c r="C867" s="5"/>
      <c r="D867" s="5"/>
      <c r="F867" s="6"/>
      <c r="G867" s="4"/>
      <c r="H867" s="4"/>
      <c r="I867" s="4" t="str">
        <f t="shared" si="64"/>
        <v/>
      </c>
      <c r="BN867" s="7"/>
      <c r="BQ867" s="7"/>
    </row>
    <row r="868" spans="1:69" ht="15" customHeight="1" x14ac:dyDescent="0.3">
      <c r="A868" s="5"/>
      <c r="B868" s="5"/>
      <c r="C868" s="5"/>
      <c r="D868" s="5"/>
      <c r="F868" s="6"/>
      <c r="G868" s="4"/>
      <c r="H868" s="4"/>
      <c r="I868" s="4" t="str">
        <f t="shared" si="64"/>
        <v/>
      </c>
      <c r="BN868" s="7"/>
      <c r="BQ868" s="7"/>
    </row>
    <row r="869" spans="1:69" ht="15" customHeight="1" x14ac:dyDescent="0.3">
      <c r="A869" s="5"/>
      <c r="B869" s="5"/>
      <c r="C869" s="5"/>
      <c r="D869" s="5"/>
      <c r="F869" s="6"/>
      <c r="G869" s="4"/>
      <c r="H869" s="4"/>
      <c r="I869" s="4" t="str">
        <f t="shared" si="64"/>
        <v/>
      </c>
      <c r="BN869" s="7"/>
      <c r="BQ869" s="7"/>
    </row>
    <row r="870" spans="1:69" ht="15" customHeight="1" x14ac:dyDescent="0.3">
      <c r="A870" s="5"/>
      <c r="B870" s="5"/>
      <c r="C870" s="5"/>
      <c r="D870" s="5"/>
      <c r="F870" s="6"/>
      <c r="G870" s="4"/>
      <c r="H870" s="4"/>
      <c r="I870" s="4" t="str">
        <f t="shared" si="64"/>
        <v/>
      </c>
      <c r="BN870" s="7"/>
      <c r="BQ870" s="7"/>
    </row>
    <row r="871" spans="1:69" ht="15" customHeight="1" x14ac:dyDescent="0.3">
      <c r="A871" s="5"/>
      <c r="B871" s="5"/>
      <c r="C871" s="5"/>
      <c r="D871" s="5"/>
      <c r="F871" s="6"/>
      <c r="G871" s="4"/>
      <c r="H871" s="4"/>
      <c r="I871" s="4" t="str">
        <f t="shared" si="64"/>
        <v/>
      </c>
      <c r="BN871" s="7"/>
      <c r="BQ871" s="7"/>
    </row>
    <row r="872" spans="1:69" ht="15" customHeight="1" x14ac:dyDescent="0.3">
      <c r="A872" s="5"/>
      <c r="B872" s="5"/>
      <c r="C872" s="5"/>
      <c r="D872" s="5"/>
      <c r="F872" s="6"/>
      <c r="G872" s="4"/>
      <c r="H872" s="4"/>
      <c r="I872" s="4" t="str">
        <f t="shared" si="64"/>
        <v/>
      </c>
      <c r="BN872" s="7"/>
      <c r="BQ872" s="7"/>
    </row>
    <row r="873" spans="1:69" ht="15" customHeight="1" x14ac:dyDescent="0.3">
      <c r="A873" s="5"/>
      <c r="B873" s="5"/>
      <c r="C873" s="5"/>
      <c r="D873" s="5"/>
      <c r="F873" s="6"/>
      <c r="G873" s="4"/>
      <c r="H873" s="4"/>
      <c r="I873" s="4" t="str">
        <f t="shared" si="64"/>
        <v/>
      </c>
      <c r="BN873" s="7"/>
      <c r="BQ873" s="7"/>
    </row>
    <row r="874" spans="1:69" ht="15" customHeight="1" x14ac:dyDescent="0.3">
      <c r="A874" s="5"/>
      <c r="B874" s="5"/>
      <c r="C874" s="5"/>
      <c r="D874" s="5"/>
      <c r="F874" s="6"/>
      <c r="G874" s="4"/>
      <c r="H874" s="4"/>
      <c r="I874" s="4" t="str">
        <f t="shared" si="64"/>
        <v/>
      </c>
      <c r="BN874" s="7"/>
      <c r="BQ874" s="7"/>
    </row>
    <row r="875" spans="1:69" ht="15" customHeight="1" x14ac:dyDescent="0.3">
      <c r="A875" s="5"/>
      <c r="B875" s="5"/>
      <c r="C875" s="5"/>
      <c r="D875" s="5"/>
      <c r="F875" s="6"/>
      <c r="G875" s="4"/>
      <c r="H875" s="4"/>
      <c r="I875" s="4" t="str">
        <f t="shared" si="64"/>
        <v/>
      </c>
      <c r="BN875" s="7"/>
      <c r="BQ875" s="7"/>
    </row>
    <row r="876" spans="1:69" ht="15" customHeight="1" x14ac:dyDescent="0.3">
      <c r="A876" s="5"/>
      <c r="B876" s="5"/>
      <c r="C876" s="5"/>
      <c r="D876" s="5"/>
      <c r="F876" s="6"/>
      <c r="G876" s="4"/>
      <c r="H876" s="4"/>
      <c r="I876" s="4" t="str">
        <f t="shared" si="64"/>
        <v/>
      </c>
      <c r="BN876" s="7"/>
      <c r="BQ876" s="7"/>
    </row>
    <row r="877" spans="1:69" ht="15" customHeight="1" x14ac:dyDescent="0.3">
      <c r="A877" s="5"/>
      <c r="B877" s="5"/>
      <c r="C877" s="5"/>
      <c r="D877" s="5"/>
      <c r="F877" s="6"/>
      <c r="G877" s="4"/>
      <c r="H877" s="4"/>
      <c r="I877" s="4" t="str">
        <f t="shared" si="64"/>
        <v/>
      </c>
      <c r="BN877" s="7"/>
      <c r="BQ877" s="7"/>
    </row>
    <row r="878" spans="1:69" ht="15" customHeight="1" x14ac:dyDescent="0.3">
      <c r="A878" s="5"/>
      <c r="B878" s="5"/>
      <c r="C878" s="5"/>
      <c r="D878" s="5"/>
      <c r="F878" s="6"/>
      <c r="G878" s="4"/>
      <c r="H878" s="4"/>
      <c r="I878" s="4" t="str">
        <f t="shared" si="64"/>
        <v/>
      </c>
      <c r="BN878" s="7"/>
      <c r="BQ878" s="7"/>
    </row>
    <row r="879" spans="1:69" ht="15" customHeight="1" x14ac:dyDescent="0.3">
      <c r="A879" s="5"/>
      <c r="B879" s="5"/>
      <c r="C879" s="5"/>
      <c r="D879" s="5"/>
      <c r="F879" s="6"/>
      <c r="G879" s="4"/>
      <c r="H879" s="4"/>
      <c r="I879" s="4" t="str">
        <f t="shared" si="64"/>
        <v/>
      </c>
      <c r="BN879" s="7"/>
      <c r="BQ879" s="7"/>
    </row>
    <row r="880" spans="1:69" ht="15" customHeight="1" x14ac:dyDescent="0.3">
      <c r="A880" s="5"/>
      <c r="B880" s="5"/>
      <c r="C880" s="5"/>
      <c r="D880" s="5"/>
      <c r="F880" s="6"/>
      <c r="G880" s="4"/>
      <c r="H880" s="4"/>
      <c r="I880" s="4" t="str">
        <f t="shared" si="64"/>
        <v/>
      </c>
      <c r="BN880" s="7"/>
      <c r="BQ880" s="7"/>
    </row>
    <row r="881" spans="1:69" ht="15" customHeight="1" x14ac:dyDescent="0.3">
      <c r="A881" s="5"/>
      <c r="B881" s="5"/>
      <c r="C881" s="5"/>
      <c r="D881" s="5"/>
      <c r="F881" s="6"/>
      <c r="G881" s="4"/>
      <c r="H881" s="4"/>
      <c r="I881" s="4" t="str">
        <f t="shared" si="64"/>
        <v/>
      </c>
      <c r="BN881" s="7"/>
      <c r="BQ881" s="7"/>
    </row>
    <row r="882" spans="1:69" ht="15" customHeight="1" x14ac:dyDescent="0.3">
      <c r="A882" s="5"/>
      <c r="B882" s="5"/>
      <c r="C882" s="5"/>
      <c r="D882" s="5"/>
      <c r="F882" s="6"/>
      <c r="G882" s="4"/>
      <c r="H882" s="4"/>
      <c r="I882" s="4" t="str">
        <f t="shared" si="64"/>
        <v/>
      </c>
      <c r="BN882" s="7"/>
      <c r="BQ882" s="7"/>
    </row>
    <row r="883" spans="1:69" ht="15" customHeight="1" x14ac:dyDescent="0.3">
      <c r="A883" s="5"/>
      <c r="B883" s="5"/>
      <c r="C883" s="5"/>
      <c r="D883" s="5"/>
      <c r="F883" s="6"/>
      <c r="G883" s="4"/>
      <c r="H883" s="4"/>
      <c r="I883" s="4" t="str">
        <f t="shared" si="64"/>
        <v/>
      </c>
      <c r="BN883" s="7"/>
      <c r="BQ883" s="7"/>
    </row>
    <row r="884" spans="1:69" ht="15" customHeight="1" x14ac:dyDescent="0.3">
      <c r="A884" s="5"/>
      <c r="B884" s="5"/>
      <c r="C884" s="5"/>
      <c r="D884" s="5"/>
      <c r="F884" s="6"/>
      <c r="G884" s="4"/>
      <c r="H884" s="4"/>
      <c r="I884" s="4" t="str">
        <f t="shared" si="64"/>
        <v/>
      </c>
      <c r="BN884" s="7"/>
      <c r="BQ884" s="7"/>
    </row>
    <row r="885" spans="1:69" ht="15" customHeight="1" x14ac:dyDescent="0.3">
      <c r="A885" s="5"/>
      <c r="B885" s="5"/>
      <c r="C885" s="5"/>
      <c r="D885" s="5"/>
      <c r="F885" s="6"/>
      <c r="G885" s="4"/>
      <c r="H885" s="4"/>
      <c r="I885" s="4" t="str">
        <f t="shared" si="64"/>
        <v/>
      </c>
      <c r="BN885" s="7"/>
      <c r="BQ885" s="7"/>
    </row>
    <row r="886" spans="1:69" ht="15" customHeight="1" x14ac:dyDescent="0.3">
      <c r="A886" s="5"/>
      <c r="B886" s="5"/>
      <c r="C886" s="5"/>
      <c r="D886" s="5"/>
      <c r="F886" s="6"/>
      <c r="G886" s="4"/>
      <c r="H886" s="4"/>
      <c r="I886" s="4" t="str">
        <f t="shared" si="64"/>
        <v/>
      </c>
      <c r="BN886" s="7"/>
      <c r="BQ886" s="7"/>
    </row>
    <row r="887" spans="1:69" ht="15" customHeight="1" x14ac:dyDescent="0.3">
      <c r="A887" s="5"/>
      <c r="B887" s="5"/>
      <c r="C887" s="5"/>
      <c r="D887" s="5"/>
      <c r="F887" s="6"/>
      <c r="G887" s="4"/>
      <c r="H887" s="4"/>
      <c r="I887" s="4" t="str">
        <f t="shared" si="64"/>
        <v/>
      </c>
      <c r="BN887" s="7"/>
      <c r="BQ887" s="7"/>
    </row>
    <row r="888" spans="1:69" ht="15" customHeight="1" x14ac:dyDescent="0.3">
      <c r="A888" s="5"/>
      <c r="B888" s="5"/>
      <c r="C888" s="5"/>
      <c r="D888" s="5"/>
      <c r="F888" s="6"/>
      <c r="G888" s="4"/>
      <c r="H888" s="4"/>
      <c r="I888" s="4" t="str">
        <f t="shared" si="64"/>
        <v/>
      </c>
      <c r="BN888" s="7"/>
      <c r="BQ888" s="7"/>
    </row>
    <row r="889" spans="1:69" ht="15" customHeight="1" x14ac:dyDescent="0.3">
      <c r="A889" s="5"/>
      <c r="B889" s="5"/>
      <c r="C889" s="5"/>
      <c r="D889" s="5"/>
      <c r="F889" s="6"/>
      <c r="G889" s="4"/>
      <c r="H889" s="4"/>
      <c r="I889" s="4" t="str">
        <f t="shared" si="64"/>
        <v/>
      </c>
      <c r="BN889" s="7"/>
      <c r="BQ889" s="7"/>
    </row>
    <row r="890" spans="1:69" ht="15" customHeight="1" x14ac:dyDescent="0.3">
      <c r="A890" s="5"/>
      <c r="B890" s="5"/>
      <c r="C890" s="5"/>
      <c r="D890" s="5"/>
      <c r="F890" s="6"/>
      <c r="G890" s="4"/>
      <c r="H890" s="4"/>
      <c r="I890" s="4" t="str">
        <f t="shared" si="64"/>
        <v/>
      </c>
      <c r="BN890" s="7"/>
      <c r="BQ890" s="7"/>
    </row>
    <row r="891" spans="1:69" ht="15" customHeight="1" x14ac:dyDescent="0.3">
      <c r="A891" s="5"/>
      <c r="B891" s="5"/>
      <c r="C891" s="5"/>
      <c r="D891" s="5"/>
      <c r="F891" s="6"/>
      <c r="G891" s="4"/>
      <c r="H891" s="4"/>
      <c r="I891" s="4" t="str">
        <f t="shared" si="64"/>
        <v/>
      </c>
      <c r="BN891" s="7"/>
      <c r="BQ891" s="7"/>
    </row>
    <row r="892" spans="1:69" ht="15" customHeight="1" x14ac:dyDescent="0.3">
      <c r="A892" s="5"/>
      <c r="B892" s="5"/>
      <c r="C892" s="5"/>
      <c r="D892" s="5"/>
      <c r="F892" s="6"/>
      <c r="G892" s="4"/>
      <c r="H892" s="4"/>
      <c r="I892" s="4" t="str">
        <f t="shared" si="64"/>
        <v/>
      </c>
      <c r="BN892" s="7"/>
      <c r="BQ892" s="7"/>
    </row>
    <row r="893" spans="1:69" ht="15" customHeight="1" x14ac:dyDescent="0.3">
      <c r="A893" s="5"/>
      <c r="B893" s="5"/>
      <c r="C893" s="5"/>
      <c r="D893" s="5"/>
      <c r="F893" s="6"/>
      <c r="G893" s="4"/>
      <c r="H893" s="4"/>
      <c r="I893" s="4" t="str">
        <f t="shared" si="64"/>
        <v/>
      </c>
      <c r="BN893" s="7"/>
      <c r="BQ893" s="7"/>
    </row>
    <row r="894" spans="1:69" ht="15" customHeight="1" x14ac:dyDescent="0.3">
      <c r="A894" s="5"/>
      <c r="B894" s="5"/>
      <c r="C894" s="5"/>
      <c r="D894" s="5"/>
      <c r="F894" s="6"/>
      <c r="G894" s="4"/>
      <c r="H894" s="4"/>
      <c r="I894" s="4" t="str">
        <f t="shared" si="64"/>
        <v/>
      </c>
      <c r="BN894" s="7"/>
      <c r="BQ894" s="7"/>
    </row>
    <row r="895" spans="1:69" ht="15" customHeight="1" x14ac:dyDescent="0.3">
      <c r="A895" s="5"/>
      <c r="B895" s="5"/>
      <c r="C895" s="5"/>
      <c r="D895" s="5"/>
      <c r="F895" s="6"/>
      <c r="G895" s="4"/>
      <c r="H895" s="4"/>
      <c r="I895" s="4" t="str">
        <f t="shared" si="64"/>
        <v/>
      </c>
      <c r="BN895" s="7"/>
      <c r="BQ895" s="7"/>
    </row>
    <row r="896" spans="1:69" ht="15" customHeight="1" x14ac:dyDescent="0.3">
      <c r="A896" s="5"/>
      <c r="B896" s="5"/>
      <c r="C896" s="5"/>
      <c r="D896" s="5"/>
      <c r="F896" s="6"/>
      <c r="G896" s="4"/>
      <c r="H896" s="4"/>
      <c r="I896" s="4" t="str">
        <f t="shared" si="64"/>
        <v/>
      </c>
      <c r="BN896" s="7"/>
      <c r="BQ896" s="7"/>
    </row>
    <row r="897" spans="1:69" ht="15" customHeight="1" x14ac:dyDescent="0.3">
      <c r="A897" s="5"/>
      <c r="B897" s="5"/>
      <c r="C897" s="5"/>
      <c r="D897" s="5"/>
      <c r="F897" s="6"/>
      <c r="G897" s="4"/>
      <c r="H897" s="4"/>
      <c r="I897" s="4" t="str">
        <f t="shared" si="64"/>
        <v/>
      </c>
      <c r="BN897" s="7"/>
      <c r="BQ897" s="7"/>
    </row>
    <row r="898" spans="1:69" ht="15" customHeight="1" x14ac:dyDescent="0.3">
      <c r="A898" s="5"/>
      <c r="B898" s="5"/>
      <c r="C898" s="5"/>
      <c r="D898" s="5"/>
      <c r="F898" s="6"/>
      <c r="G898" s="4"/>
      <c r="H898" s="4"/>
      <c r="I898" s="4" t="str">
        <f t="shared" si="64"/>
        <v/>
      </c>
      <c r="BN898" s="7"/>
      <c r="BQ898" s="7"/>
    </row>
    <row r="899" spans="1:69" ht="15" customHeight="1" x14ac:dyDescent="0.3">
      <c r="A899" s="5"/>
      <c r="B899" s="5"/>
      <c r="C899" s="5"/>
      <c r="D899" s="5"/>
      <c r="F899" s="6"/>
      <c r="G899" s="4"/>
      <c r="H899" s="4"/>
      <c r="I899" s="4" t="str">
        <f t="shared" ref="I899:I962" si="65">IFERROR(MID(A899,FIND("Sorry, the entered Application Number",A899),68),"")</f>
        <v/>
      </c>
      <c r="BN899" s="7"/>
      <c r="BQ899" s="7"/>
    </row>
    <row r="900" spans="1:69" ht="15" customHeight="1" x14ac:dyDescent="0.3">
      <c r="A900" s="5"/>
      <c r="B900" s="5"/>
      <c r="C900" s="5"/>
      <c r="D900" s="5"/>
      <c r="F900" s="6"/>
      <c r="G900" s="4"/>
      <c r="H900" s="4"/>
      <c r="I900" s="4" t="str">
        <f t="shared" si="65"/>
        <v/>
      </c>
      <c r="BN900" s="7"/>
      <c r="BQ900" s="7"/>
    </row>
    <row r="901" spans="1:69" ht="15" customHeight="1" x14ac:dyDescent="0.3">
      <c r="A901" s="5"/>
      <c r="B901" s="5"/>
      <c r="C901" s="5"/>
      <c r="D901" s="5"/>
      <c r="F901" s="6"/>
      <c r="G901" s="4"/>
      <c r="H901" s="4"/>
      <c r="I901" s="4" t="str">
        <f t="shared" si="65"/>
        <v/>
      </c>
      <c r="BN901" s="7"/>
      <c r="BQ901" s="7"/>
    </row>
    <row r="902" spans="1:69" ht="15" customHeight="1" x14ac:dyDescent="0.3">
      <c r="A902" s="5"/>
      <c r="B902" s="5"/>
      <c r="C902" s="5"/>
      <c r="D902" s="5"/>
      <c r="F902" s="6"/>
      <c r="G902" s="4"/>
      <c r="H902" s="4"/>
      <c r="I902" s="4" t="str">
        <f t="shared" si="65"/>
        <v/>
      </c>
      <c r="BN902" s="7"/>
      <c r="BQ902" s="7"/>
    </row>
    <row r="903" spans="1:69" ht="15" customHeight="1" x14ac:dyDescent="0.3">
      <c r="A903" s="5"/>
      <c r="B903" s="5"/>
      <c r="C903" s="5"/>
      <c r="D903" s="5"/>
      <c r="F903" s="6"/>
      <c r="G903" s="4"/>
      <c r="H903" s="4"/>
      <c r="I903" s="4" t="str">
        <f t="shared" si="65"/>
        <v/>
      </c>
      <c r="BN903" s="7"/>
      <c r="BQ903" s="7"/>
    </row>
    <row r="904" spans="1:69" ht="15" customHeight="1" x14ac:dyDescent="0.3">
      <c r="A904" s="5"/>
      <c r="B904" s="5"/>
      <c r="C904" s="5"/>
      <c r="D904" s="5"/>
      <c r="F904" s="6"/>
      <c r="G904" s="4"/>
      <c r="H904" s="4"/>
      <c r="I904" s="4" t="str">
        <f t="shared" si="65"/>
        <v/>
      </c>
      <c r="BN904" s="7"/>
      <c r="BQ904" s="7"/>
    </row>
    <row r="905" spans="1:69" ht="15" customHeight="1" x14ac:dyDescent="0.3">
      <c r="A905" s="5"/>
      <c r="B905" s="5"/>
      <c r="C905" s="5"/>
      <c r="D905" s="5"/>
      <c r="F905" s="6"/>
      <c r="G905" s="4"/>
      <c r="H905" s="4"/>
      <c r="I905" s="4" t="str">
        <f t="shared" si="65"/>
        <v/>
      </c>
      <c r="BN905" s="7"/>
      <c r="BQ905" s="7"/>
    </row>
    <row r="906" spans="1:69" ht="15" customHeight="1" x14ac:dyDescent="0.3">
      <c r="A906" s="5"/>
      <c r="B906" s="5"/>
      <c r="C906" s="5"/>
      <c r="D906" s="5"/>
      <c r="F906" s="6"/>
      <c r="G906" s="4"/>
      <c r="H906" s="4"/>
      <c r="I906" s="4" t="str">
        <f t="shared" si="65"/>
        <v/>
      </c>
      <c r="BN906" s="7"/>
      <c r="BQ906" s="7"/>
    </row>
    <row r="907" spans="1:69" ht="15" customHeight="1" x14ac:dyDescent="0.3">
      <c r="A907" s="5"/>
      <c r="B907" s="5"/>
      <c r="C907" s="5"/>
      <c r="D907" s="5"/>
      <c r="F907" s="6"/>
      <c r="G907" s="4"/>
      <c r="H907" s="4"/>
      <c r="I907" s="4" t="str">
        <f t="shared" si="65"/>
        <v/>
      </c>
      <c r="BN907" s="7"/>
      <c r="BQ907" s="7"/>
    </row>
    <row r="908" spans="1:69" ht="15" customHeight="1" x14ac:dyDescent="0.3">
      <c r="A908" s="5"/>
      <c r="B908" s="5"/>
      <c r="C908" s="5"/>
      <c r="D908" s="5"/>
      <c r="F908" s="6"/>
      <c r="G908" s="4"/>
      <c r="H908" s="4"/>
      <c r="I908" s="4" t="str">
        <f t="shared" si="65"/>
        <v/>
      </c>
      <c r="BN908" s="7"/>
      <c r="BQ908" s="7"/>
    </row>
    <row r="909" spans="1:69" ht="15" customHeight="1" x14ac:dyDescent="0.3">
      <c r="A909" s="5"/>
      <c r="B909" s="5"/>
      <c r="C909" s="5"/>
      <c r="D909" s="5"/>
      <c r="F909" s="6"/>
      <c r="G909" s="4"/>
      <c r="H909" s="4"/>
      <c r="I909" s="4" t="str">
        <f t="shared" si="65"/>
        <v/>
      </c>
      <c r="BN909" s="7"/>
      <c r="BQ909" s="7"/>
    </row>
    <row r="910" spans="1:69" ht="15" customHeight="1" x14ac:dyDescent="0.3">
      <c r="A910" s="5"/>
      <c r="B910" s="5"/>
      <c r="C910" s="5"/>
      <c r="D910" s="5"/>
      <c r="F910" s="6"/>
      <c r="G910" s="4"/>
      <c r="H910" s="4"/>
      <c r="I910" s="4" t="str">
        <f t="shared" si="65"/>
        <v/>
      </c>
      <c r="BN910" s="7"/>
      <c r="BQ910" s="7"/>
    </row>
    <row r="911" spans="1:69" ht="15" customHeight="1" x14ac:dyDescent="0.3">
      <c r="A911" s="5"/>
      <c r="B911" s="5"/>
      <c r="C911" s="5"/>
      <c r="D911" s="5"/>
      <c r="F911" s="6"/>
      <c r="G911" s="4"/>
      <c r="H911" s="4"/>
      <c r="I911" s="4" t="str">
        <f t="shared" si="65"/>
        <v/>
      </c>
      <c r="BN911" s="7"/>
      <c r="BQ911" s="7"/>
    </row>
    <row r="912" spans="1:69" ht="15" customHeight="1" x14ac:dyDescent="0.3">
      <c r="A912" s="5"/>
      <c r="B912" s="5"/>
      <c r="C912" s="5"/>
      <c r="D912" s="5"/>
      <c r="F912" s="6"/>
      <c r="G912" s="4"/>
      <c r="H912" s="4"/>
      <c r="I912" s="4" t="str">
        <f t="shared" si="65"/>
        <v/>
      </c>
      <c r="BN912" s="7"/>
      <c r="BQ912" s="7"/>
    </row>
    <row r="913" spans="1:69" ht="15" customHeight="1" x14ac:dyDescent="0.3">
      <c r="A913" s="5"/>
      <c r="B913" s="5"/>
      <c r="C913" s="5"/>
      <c r="D913" s="5"/>
      <c r="F913" s="6"/>
      <c r="G913" s="4"/>
      <c r="H913" s="4"/>
      <c r="I913" s="4" t="str">
        <f t="shared" si="65"/>
        <v/>
      </c>
      <c r="BN913" s="7"/>
      <c r="BQ913" s="7"/>
    </row>
    <row r="914" spans="1:69" ht="15" customHeight="1" x14ac:dyDescent="0.3">
      <c r="A914" s="5"/>
      <c r="B914" s="5"/>
      <c r="C914" s="5"/>
      <c r="D914" s="5"/>
      <c r="F914" s="6"/>
      <c r="G914" s="4"/>
      <c r="H914" s="4"/>
      <c r="I914" s="4" t="str">
        <f t="shared" si="65"/>
        <v/>
      </c>
      <c r="BN914" s="7"/>
      <c r="BQ914" s="7"/>
    </row>
    <row r="915" spans="1:69" ht="15" customHeight="1" x14ac:dyDescent="0.3">
      <c r="A915" s="5"/>
      <c r="B915" s="5"/>
      <c r="C915" s="5"/>
      <c r="D915" s="5"/>
      <c r="F915" s="6"/>
      <c r="G915" s="4"/>
      <c r="H915" s="4"/>
      <c r="I915" s="4" t="str">
        <f t="shared" si="65"/>
        <v/>
      </c>
      <c r="BN915" s="7"/>
      <c r="BQ915" s="7"/>
    </row>
    <row r="916" spans="1:69" ht="15" customHeight="1" x14ac:dyDescent="0.3">
      <c r="A916" s="5"/>
      <c r="B916" s="5"/>
      <c r="C916" s="5"/>
      <c r="D916" s="5"/>
      <c r="F916" s="6"/>
      <c r="G916" s="4"/>
      <c r="H916" s="4"/>
      <c r="I916" s="4" t="str">
        <f t="shared" si="65"/>
        <v/>
      </c>
      <c r="BN916" s="7"/>
      <c r="BQ916" s="7"/>
    </row>
    <row r="917" spans="1:69" ht="15" customHeight="1" x14ac:dyDescent="0.3">
      <c r="A917" s="5"/>
      <c r="B917" s="5"/>
      <c r="C917" s="5"/>
      <c r="D917" s="5"/>
      <c r="F917" s="6"/>
      <c r="G917" s="4"/>
      <c r="H917" s="4"/>
      <c r="I917" s="4" t="str">
        <f t="shared" si="65"/>
        <v/>
      </c>
      <c r="BN917" s="7"/>
      <c r="BQ917" s="7"/>
    </row>
    <row r="918" spans="1:69" ht="15" customHeight="1" x14ac:dyDescent="0.3">
      <c r="A918" s="5"/>
      <c r="B918" s="5"/>
      <c r="C918" s="5"/>
      <c r="D918" s="5"/>
      <c r="F918" s="6"/>
      <c r="G918" s="4"/>
      <c r="H918" s="4"/>
      <c r="I918" s="4" t="str">
        <f t="shared" si="65"/>
        <v/>
      </c>
      <c r="BN918" s="7"/>
      <c r="BQ918" s="7"/>
    </row>
    <row r="919" spans="1:69" ht="15" customHeight="1" x14ac:dyDescent="0.3">
      <c r="A919" s="5"/>
      <c r="B919" s="5"/>
      <c r="C919" s="5"/>
      <c r="D919" s="5"/>
      <c r="F919" s="6"/>
      <c r="G919" s="4"/>
      <c r="H919" s="4"/>
      <c r="I919" s="4" t="str">
        <f t="shared" si="65"/>
        <v/>
      </c>
      <c r="BN919" s="7"/>
      <c r="BQ919" s="7"/>
    </row>
    <row r="920" spans="1:69" ht="15" customHeight="1" x14ac:dyDescent="0.3">
      <c r="A920" s="5"/>
      <c r="B920" s="5"/>
      <c r="C920" s="5"/>
      <c r="D920" s="5"/>
      <c r="F920" s="6"/>
      <c r="G920" s="4"/>
      <c r="H920" s="4"/>
      <c r="I920" s="4" t="str">
        <f t="shared" si="65"/>
        <v/>
      </c>
      <c r="BN920" s="7"/>
      <c r="BQ920" s="7"/>
    </row>
    <row r="921" spans="1:69" ht="15" customHeight="1" x14ac:dyDescent="0.3">
      <c r="A921" s="5"/>
      <c r="B921" s="5"/>
      <c r="C921" s="5"/>
      <c r="D921" s="5"/>
      <c r="F921" s="6"/>
      <c r="G921" s="4"/>
      <c r="H921" s="4"/>
      <c r="I921" s="4" t="str">
        <f t="shared" si="65"/>
        <v/>
      </c>
      <c r="BN921" s="7"/>
      <c r="BQ921" s="7"/>
    </row>
    <row r="922" spans="1:69" ht="15" customHeight="1" x14ac:dyDescent="0.3">
      <c r="A922" s="5"/>
      <c r="B922" s="5"/>
      <c r="C922" s="5"/>
      <c r="D922" s="5"/>
      <c r="F922" s="6"/>
      <c r="G922" s="4"/>
      <c r="H922" s="4"/>
      <c r="I922" s="4" t="str">
        <f t="shared" si="65"/>
        <v/>
      </c>
      <c r="BN922" s="7"/>
      <c r="BQ922" s="7"/>
    </row>
    <row r="923" spans="1:69" ht="15" customHeight="1" x14ac:dyDescent="0.3">
      <c r="A923" s="5"/>
      <c r="B923" s="5"/>
      <c r="C923" s="5"/>
      <c r="D923" s="5"/>
      <c r="F923" s="6"/>
      <c r="G923" s="4"/>
      <c r="H923" s="4"/>
      <c r="I923" s="4" t="str">
        <f t="shared" si="65"/>
        <v/>
      </c>
      <c r="BN923" s="7"/>
      <c r="BQ923" s="7"/>
    </row>
    <row r="924" spans="1:69" ht="15" customHeight="1" x14ac:dyDescent="0.3">
      <c r="A924" s="5"/>
      <c r="B924" s="5"/>
      <c r="C924" s="5"/>
      <c r="D924" s="5"/>
      <c r="F924" s="6"/>
      <c r="G924" s="4"/>
      <c r="H924" s="4"/>
      <c r="I924" s="4" t="str">
        <f t="shared" si="65"/>
        <v/>
      </c>
      <c r="BN924" s="7"/>
      <c r="BQ924" s="7"/>
    </row>
    <row r="925" spans="1:69" ht="15" customHeight="1" x14ac:dyDescent="0.3">
      <c r="A925" s="5"/>
      <c r="B925" s="5"/>
      <c r="C925" s="5"/>
      <c r="D925" s="5"/>
      <c r="F925" s="6"/>
      <c r="G925" s="4"/>
      <c r="H925" s="4"/>
      <c r="I925" s="4" t="str">
        <f t="shared" si="65"/>
        <v/>
      </c>
      <c r="BN925" s="7"/>
      <c r="BQ925" s="7"/>
    </row>
    <row r="926" spans="1:69" ht="15" customHeight="1" x14ac:dyDescent="0.3">
      <c r="A926" s="5"/>
      <c r="B926" s="5"/>
      <c r="C926" s="5"/>
      <c r="D926" s="5"/>
      <c r="F926" s="6"/>
      <c r="G926" s="4"/>
      <c r="H926" s="4"/>
      <c r="I926" s="4" t="str">
        <f t="shared" si="65"/>
        <v/>
      </c>
      <c r="BN926" s="7"/>
      <c r="BQ926" s="7"/>
    </row>
    <row r="927" spans="1:69" ht="15" customHeight="1" x14ac:dyDescent="0.3">
      <c r="A927" s="5"/>
      <c r="B927" s="5"/>
      <c r="C927" s="5"/>
      <c r="D927" s="5"/>
      <c r="F927" s="6"/>
      <c r="G927" s="4"/>
      <c r="H927" s="4"/>
      <c r="I927" s="4" t="str">
        <f t="shared" si="65"/>
        <v/>
      </c>
      <c r="BN927" s="7"/>
      <c r="BQ927" s="7"/>
    </row>
    <row r="928" spans="1:69" ht="15" customHeight="1" x14ac:dyDescent="0.3">
      <c r="A928" s="5"/>
      <c r="B928" s="5"/>
      <c r="C928" s="5"/>
      <c r="D928" s="5"/>
      <c r="F928" s="6"/>
      <c r="G928" s="4"/>
      <c r="H928" s="4"/>
      <c r="I928" s="4" t="str">
        <f t="shared" si="65"/>
        <v/>
      </c>
      <c r="BN928" s="7"/>
      <c r="BQ928" s="7"/>
    </row>
    <row r="929" spans="1:69" ht="15" customHeight="1" x14ac:dyDescent="0.3">
      <c r="A929" s="5"/>
      <c r="B929" s="5"/>
      <c r="C929" s="5"/>
      <c r="D929" s="5"/>
      <c r="F929" s="6"/>
      <c r="G929" s="4"/>
      <c r="H929" s="4"/>
      <c r="I929" s="4" t="str">
        <f t="shared" si="65"/>
        <v/>
      </c>
      <c r="BN929" s="7"/>
      <c r="BQ929" s="7"/>
    </row>
    <row r="930" spans="1:69" ht="15" customHeight="1" x14ac:dyDescent="0.3">
      <c r="A930" s="5"/>
      <c r="B930" s="5"/>
      <c r="C930" s="5"/>
      <c r="D930" s="5"/>
      <c r="F930" s="6"/>
      <c r="G930" s="4"/>
      <c r="H930" s="4"/>
      <c r="I930" s="4" t="str">
        <f t="shared" si="65"/>
        <v/>
      </c>
      <c r="BN930" s="7"/>
      <c r="BQ930" s="7"/>
    </row>
    <row r="931" spans="1:69" ht="15" customHeight="1" x14ac:dyDescent="0.3">
      <c r="A931" s="5"/>
      <c r="B931" s="5"/>
      <c r="C931" s="5"/>
      <c r="D931" s="5"/>
      <c r="F931" s="6"/>
      <c r="G931" s="4"/>
      <c r="H931" s="4"/>
      <c r="I931" s="4" t="str">
        <f t="shared" si="65"/>
        <v/>
      </c>
      <c r="BN931" s="7"/>
      <c r="BQ931" s="7"/>
    </row>
    <row r="932" spans="1:69" ht="15" customHeight="1" x14ac:dyDescent="0.3">
      <c r="A932" s="5"/>
      <c r="B932" s="5"/>
      <c r="C932" s="5"/>
      <c r="D932" s="5"/>
      <c r="F932" s="6"/>
      <c r="G932" s="4"/>
      <c r="H932" s="4"/>
      <c r="I932" s="4" t="str">
        <f t="shared" si="65"/>
        <v/>
      </c>
      <c r="BN932" s="7"/>
      <c r="BQ932" s="7"/>
    </row>
    <row r="933" spans="1:69" ht="15" customHeight="1" x14ac:dyDescent="0.3">
      <c r="A933" s="5"/>
      <c r="B933" s="5"/>
      <c r="C933" s="5"/>
      <c r="D933" s="5"/>
      <c r="F933" s="6"/>
      <c r="G933" s="4"/>
      <c r="H933" s="4"/>
      <c r="I933" s="4" t="str">
        <f t="shared" si="65"/>
        <v/>
      </c>
      <c r="BN933" s="7"/>
      <c r="BQ933" s="7"/>
    </row>
    <row r="934" spans="1:69" ht="15" customHeight="1" x14ac:dyDescent="0.3">
      <c r="A934" s="5"/>
      <c r="B934" s="5"/>
      <c r="C934" s="5"/>
      <c r="D934" s="5"/>
      <c r="F934" s="6"/>
      <c r="G934" s="4"/>
      <c r="H934" s="4"/>
      <c r="I934" s="4" t="str">
        <f t="shared" si="65"/>
        <v/>
      </c>
      <c r="BN934" s="7"/>
      <c r="BQ934" s="7"/>
    </row>
    <row r="935" spans="1:69" ht="15" customHeight="1" x14ac:dyDescent="0.3">
      <c r="A935" s="5"/>
      <c r="B935" s="5"/>
      <c r="C935" s="5"/>
      <c r="D935" s="5"/>
      <c r="F935" s="6"/>
      <c r="G935" s="4"/>
      <c r="H935" s="4"/>
      <c r="I935" s="4" t="str">
        <f t="shared" si="65"/>
        <v/>
      </c>
      <c r="BN935" s="7"/>
      <c r="BQ935" s="7"/>
    </row>
    <row r="936" spans="1:69" ht="15" customHeight="1" x14ac:dyDescent="0.3">
      <c r="A936" s="5"/>
      <c r="B936" s="5"/>
      <c r="C936" s="5"/>
      <c r="D936" s="5"/>
      <c r="F936" s="6"/>
      <c r="G936" s="4"/>
      <c r="H936" s="4"/>
      <c r="I936" s="4" t="str">
        <f t="shared" si="65"/>
        <v/>
      </c>
      <c r="BN936" s="7"/>
      <c r="BQ936" s="7"/>
    </row>
    <row r="937" spans="1:69" ht="15" customHeight="1" x14ac:dyDescent="0.3">
      <c r="A937" s="5"/>
      <c r="B937" s="5"/>
      <c r="C937" s="5"/>
      <c r="D937" s="5"/>
      <c r="F937" s="6"/>
      <c r="G937" s="4"/>
      <c r="H937" s="4"/>
      <c r="I937" s="4" t="str">
        <f t="shared" si="65"/>
        <v/>
      </c>
      <c r="BN937" s="7"/>
      <c r="BQ937" s="7"/>
    </row>
    <row r="938" spans="1:69" ht="15" customHeight="1" x14ac:dyDescent="0.3">
      <c r="A938" s="5"/>
      <c r="B938" s="5"/>
      <c r="C938" s="5"/>
      <c r="D938" s="5"/>
      <c r="F938" s="6"/>
      <c r="G938" s="4"/>
      <c r="H938" s="4"/>
      <c r="I938" s="4" t="str">
        <f t="shared" si="65"/>
        <v/>
      </c>
      <c r="BN938" s="7"/>
      <c r="BQ938" s="7"/>
    </row>
    <row r="939" spans="1:69" ht="15" customHeight="1" x14ac:dyDescent="0.3">
      <c r="A939" s="5"/>
      <c r="B939" s="5"/>
      <c r="C939" s="5"/>
      <c r="D939" s="5"/>
      <c r="F939" s="6"/>
      <c r="G939" s="4"/>
      <c r="H939" s="4"/>
      <c r="I939" s="4" t="str">
        <f t="shared" si="65"/>
        <v/>
      </c>
      <c r="BN939" s="7"/>
      <c r="BQ939" s="7"/>
    </row>
    <row r="940" spans="1:69" ht="15" customHeight="1" x14ac:dyDescent="0.3">
      <c r="A940" s="5"/>
      <c r="B940" s="5"/>
      <c r="C940" s="5"/>
      <c r="D940" s="5"/>
      <c r="F940" s="6"/>
      <c r="G940" s="4"/>
      <c r="H940" s="4"/>
      <c r="I940" s="4" t="str">
        <f t="shared" si="65"/>
        <v/>
      </c>
      <c r="BN940" s="7"/>
      <c r="BQ940" s="7"/>
    </row>
    <row r="941" spans="1:69" ht="15" customHeight="1" x14ac:dyDescent="0.3">
      <c r="A941" s="5"/>
      <c r="B941" s="5"/>
      <c r="C941" s="5"/>
      <c r="D941" s="5"/>
      <c r="F941" s="6"/>
      <c r="G941" s="4"/>
      <c r="H941" s="4"/>
      <c r="I941" s="4" t="str">
        <f t="shared" si="65"/>
        <v/>
      </c>
      <c r="BN941" s="7"/>
      <c r="BQ941" s="7"/>
    </row>
    <row r="942" spans="1:69" ht="15" customHeight="1" x14ac:dyDescent="0.3">
      <c r="A942" s="5"/>
      <c r="B942" s="5"/>
      <c r="C942" s="5"/>
      <c r="D942" s="5"/>
      <c r="F942" s="6"/>
      <c r="G942" s="4"/>
      <c r="H942" s="4"/>
      <c r="I942" s="4" t="str">
        <f t="shared" si="65"/>
        <v/>
      </c>
      <c r="BN942" s="7"/>
      <c r="BQ942" s="7"/>
    </row>
    <row r="943" spans="1:69" ht="15" customHeight="1" x14ac:dyDescent="0.3">
      <c r="A943" s="5"/>
      <c r="B943" s="5"/>
      <c r="C943" s="5"/>
      <c r="D943" s="5"/>
      <c r="F943" s="6"/>
      <c r="G943" s="4"/>
      <c r="H943" s="4"/>
      <c r="I943" s="4" t="str">
        <f t="shared" si="65"/>
        <v/>
      </c>
      <c r="BN943" s="7"/>
      <c r="BQ943" s="7"/>
    </row>
    <row r="944" spans="1:69" ht="15" customHeight="1" x14ac:dyDescent="0.3">
      <c r="A944" s="5"/>
      <c r="B944" s="5"/>
      <c r="C944" s="5"/>
      <c r="D944" s="5"/>
      <c r="F944" s="6"/>
      <c r="G944" s="4"/>
      <c r="H944" s="4"/>
      <c r="I944" s="4" t="str">
        <f t="shared" si="65"/>
        <v/>
      </c>
      <c r="BN944" s="7"/>
      <c r="BQ944" s="7"/>
    </row>
    <row r="945" spans="1:69" ht="15" customHeight="1" x14ac:dyDescent="0.3">
      <c r="A945" s="5"/>
      <c r="B945" s="5"/>
      <c r="C945" s="5"/>
      <c r="D945" s="5"/>
      <c r="F945" s="6"/>
      <c r="G945" s="4"/>
      <c r="H945" s="4"/>
      <c r="I945" s="4" t="str">
        <f t="shared" si="65"/>
        <v/>
      </c>
      <c r="BN945" s="7"/>
      <c r="BQ945" s="7"/>
    </row>
    <row r="946" spans="1:69" ht="15" customHeight="1" x14ac:dyDescent="0.3">
      <c r="A946" s="5"/>
      <c r="B946" s="5"/>
      <c r="C946" s="5"/>
      <c r="D946" s="5"/>
      <c r="F946" s="6"/>
      <c r="G946" s="4"/>
      <c r="H946" s="4"/>
      <c r="I946" s="4" t="str">
        <f t="shared" si="65"/>
        <v/>
      </c>
      <c r="BN946" s="7"/>
      <c r="BQ946" s="7"/>
    </row>
    <row r="947" spans="1:69" ht="15" customHeight="1" x14ac:dyDescent="0.3">
      <c r="A947" s="5"/>
      <c r="B947" s="5"/>
      <c r="C947" s="5"/>
      <c r="D947" s="5"/>
      <c r="F947" s="6"/>
      <c r="G947" s="4"/>
      <c r="H947" s="4"/>
      <c r="I947" s="4" t="str">
        <f t="shared" si="65"/>
        <v/>
      </c>
      <c r="BN947" s="7"/>
      <c r="BQ947" s="7"/>
    </row>
    <row r="948" spans="1:69" ht="15" customHeight="1" x14ac:dyDescent="0.3">
      <c r="A948" s="5"/>
      <c r="B948" s="5"/>
      <c r="C948" s="5"/>
      <c r="D948" s="5"/>
      <c r="F948" s="6"/>
      <c r="G948" s="4"/>
      <c r="H948" s="4"/>
      <c r="I948" s="4" t="str">
        <f t="shared" si="65"/>
        <v/>
      </c>
      <c r="BN948" s="7"/>
      <c r="BQ948" s="7"/>
    </row>
    <row r="949" spans="1:69" ht="15" customHeight="1" x14ac:dyDescent="0.3">
      <c r="A949" s="5"/>
      <c r="B949" s="5"/>
      <c r="C949" s="5"/>
      <c r="D949" s="5"/>
      <c r="F949" s="6"/>
      <c r="G949" s="4"/>
      <c r="H949" s="4"/>
      <c r="I949" s="4" t="str">
        <f t="shared" si="65"/>
        <v/>
      </c>
      <c r="BN949" s="7"/>
      <c r="BQ949" s="7"/>
    </row>
    <row r="950" spans="1:69" ht="15" customHeight="1" x14ac:dyDescent="0.3">
      <c r="A950" s="5"/>
      <c r="B950" s="5"/>
      <c r="C950" s="5"/>
      <c r="D950" s="5"/>
      <c r="F950" s="6"/>
      <c r="G950" s="4"/>
      <c r="H950" s="4"/>
      <c r="I950" s="4" t="str">
        <f t="shared" si="65"/>
        <v/>
      </c>
      <c r="BN950" s="7"/>
      <c r="BQ950" s="7"/>
    </row>
    <row r="951" spans="1:69" ht="15" customHeight="1" x14ac:dyDescent="0.3">
      <c r="A951" s="5"/>
      <c r="B951" s="5"/>
      <c r="C951" s="5"/>
      <c r="D951" s="5"/>
      <c r="F951" s="6"/>
      <c r="G951" s="4"/>
      <c r="H951" s="4"/>
      <c r="I951" s="4" t="str">
        <f t="shared" si="65"/>
        <v/>
      </c>
      <c r="BN951" s="7"/>
      <c r="BQ951" s="7"/>
    </row>
    <row r="952" spans="1:69" ht="15" customHeight="1" x14ac:dyDescent="0.3">
      <c r="A952" s="5"/>
      <c r="B952" s="5"/>
      <c r="C952" s="5"/>
      <c r="D952" s="5"/>
      <c r="F952" s="6"/>
      <c r="G952" s="4"/>
      <c r="H952" s="4"/>
      <c r="I952" s="4" t="str">
        <f t="shared" si="65"/>
        <v/>
      </c>
      <c r="BN952" s="7"/>
      <c r="BQ952" s="7"/>
    </row>
    <row r="953" spans="1:69" ht="15" customHeight="1" x14ac:dyDescent="0.3">
      <c r="A953" s="5"/>
      <c r="B953" s="5"/>
      <c r="C953" s="5"/>
      <c r="D953" s="5"/>
      <c r="F953" s="6"/>
      <c r="G953" s="4"/>
      <c r="H953" s="4"/>
      <c r="I953" s="4" t="str">
        <f t="shared" si="65"/>
        <v/>
      </c>
      <c r="BN953" s="7"/>
      <c r="BQ953" s="7"/>
    </row>
    <row r="954" spans="1:69" ht="15" customHeight="1" x14ac:dyDescent="0.3">
      <c r="A954" s="5"/>
      <c r="B954" s="5"/>
      <c r="C954" s="5"/>
      <c r="D954" s="5"/>
      <c r="F954" s="6"/>
      <c r="G954" s="4"/>
      <c r="H954" s="4"/>
      <c r="I954" s="4" t="str">
        <f t="shared" si="65"/>
        <v/>
      </c>
      <c r="BN954" s="7"/>
      <c r="BQ954" s="7"/>
    </row>
    <row r="955" spans="1:69" ht="15" customHeight="1" x14ac:dyDescent="0.3">
      <c r="A955" s="5"/>
      <c r="B955" s="5"/>
      <c r="C955" s="5"/>
      <c r="D955" s="5"/>
      <c r="F955" s="6"/>
      <c r="G955" s="4"/>
      <c r="H955" s="4"/>
      <c r="I955" s="4" t="str">
        <f t="shared" si="65"/>
        <v/>
      </c>
      <c r="BN955" s="7"/>
      <c r="BQ955" s="7"/>
    </row>
    <row r="956" spans="1:69" ht="15" customHeight="1" x14ac:dyDescent="0.3">
      <c r="A956" s="5"/>
      <c r="B956" s="5"/>
      <c r="C956" s="5"/>
      <c r="D956" s="5"/>
      <c r="F956" s="6"/>
      <c r="G956" s="4"/>
      <c r="H956" s="4"/>
      <c r="I956" s="4" t="str">
        <f t="shared" si="65"/>
        <v/>
      </c>
      <c r="BN956" s="7"/>
      <c r="BQ956" s="7"/>
    </row>
    <row r="957" spans="1:69" ht="15" customHeight="1" x14ac:dyDescent="0.3">
      <c r="A957" s="5"/>
      <c r="B957" s="5"/>
      <c r="C957" s="5"/>
      <c r="D957" s="5"/>
      <c r="F957" s="6"/>
      <c r="G957" s="4"/>
      <c r="H957" s="4"/>
      <c r="I957" s="4" t="str">
        <f t="shared" si="65"/>
        <v/>
      </c>
      <c r="BN957" s="7"/>
      <c r="BQ957" s="7"/>
    </row>
    <row r="958" spans="1:69" ht="15" customHeight="1" x14ac:dyDescent="0.3">
      <c r="A958" s="5"/>
      <c r="B958" s="5"/>
      <c r="C958" s="5"/>
      <c r="D958" s="5"/>
      <c r="F958" s="6"/>
      <c r="G958" s="4"/>
      <c r="H958" s="4"/>
      <c r="I958" s="4" t="str">
        <f t="shared" si="65"/>
        <v/>
      </c>
      <c r="BN958" s="7"/>
      <c r="BQ958" s="7"/>
    </row>
    <row r="959" spans="1:69" ht="15" customHeight="1" x14ac:dyDescent="0.3">
      <c r="A959" s="5"/>
      <c r="B959" s="5"/>
      <c r="C959" s="5"/>
      <c r="D959" s="5"/>
      <c r="F959" s="6"/>
      <c r="G959" s="4"/>
      <c r="H959" s="4"/>
      <c r="I959" s="4" t="str">
        <f t="shared" si="65"/>
        <v/>
      </c>
      <c r="BN959" s="7"/>
      <c r="BQ959" s="7"/>
    </row>
    <row r="960" spans="1:69" ht="15" customHeight="1" x14ac:dyDescent="0.3">
      <c r="A960" s="5"/>
      <c r="B960" s="5"/>
      <c r="C960" s="5"/>
      <c r="D960" s="5"/>
      <c r="F960" s="6"/>
      <c r="G960" s="4"/>
      <c r="H960" s="4"/>
      <c r="I960" s="4" t="str">
        <f t="shared" si="65"/>
        <v/>
      </c>
      <c r="BN960" s="7"/>
      <c r="BQ960" s="7"/>
    </row>
    <row r="961" spans="1:69" ht="15" customHeight="1" x14ac:dyDescent="0.3">
      <c r="A961" s="5"/>
      <c r="B961" s="5"/>
      <c r="C961" s="5"/>
      <c r="D961" s="5"/>
      <c r="F961" s="6"/>
      <c r="G961" s="4"/>
      <c r="H961" s="4"/>
      <c r="I961" s="4" t="str">
        <f t="shared" si="65"/>
        <v/>
      </c>
      <c r="BN961" s="7"/>
      <c r="BQ961" s="7"/>
    </row>
    <row r="962" spans="1:69" ht="15" customHeight="1" x14ac:dyDescent="0.3">
      <c r="A962" s="5"/>
      <c r="B962" s="5"/>
      <c r="C962" s="5"/>
      <c r="D962" s="5"/>
      <c r="F962" s="6"/>
      <c r="G962" s="4"/>
      <c r="H962" s="4"/>
      <c r="I962" s="4" t="str">
        <f t="shared" si="65"/>
        <v/>
      </c>
      <c r="BN962" s="7"/>
      <c r="BQ962" s="7"/>
    </row>
    <row r="963" spans="1:69" ht="15" customHeight="1" x14ac:dyDescent="0.3">
      <c r="A963" s="5"/>
      <c r="B963" s="5"/>
      <c r="C963" s="5"/>
      <c r="D963" s="5"/>
      <c r="F963" s="6"/>
      <c r="G963" s="4"/>
      <c r="H963" s="4"/>
      <c r="I963" s="4" t="str">
        <f t="shared" ref="I963:I1026" si="66">IFERROR(MID(A963,FIND("Sorry, the entered Application Number",A963),68),"")</f>
        <v/>
      </c>
      <c r="BN963" s="7"/>
      <c r="BQ963" s="7"/>
    </row>
    <row r="964" spans="1:69" ht="15" customHeight="1" x14ac:dyDescent="0.3">
      <c r="A964" s="5"/>
      <c r="B964" s="5"/>
      <c r="C964" s="5"/>
      <c r="D964" s="5"/>
      <c r="F964" s="6"/>
      <c r="G964" s="4"/>
      <c r="H964" s="4"/>
      <c r="I964" s="4" t="str">
        <f t="shared" si="66"/>
        <v/>
      </c>
      <c r="BN964" s="7"/>
      <c r="BQ964" s="7"/>
    </row>
    <row r="965" spans="1:69" ht="15" customHeight="1" x14ac:dyDescent="0.3">
      <c r="A965" s="5"/>
      <c r="B965" s="5"/>
      <c r="C965" s="5"/>
      <c r="D965" s="5"/>
      <c r="F965" s="6"/>
      <c r="G965" s="4"/>
      <c r="H965" s="4"/>
      <c r="I965" s="4" t="str">
        <f t="shared" si="66"/>
        <v/>
      </c>
      <c r="BN965" s="7"/>
      <c r="BQ965" s="7"/>
    </row>
    <row r="966" spans="1:69" ht="15" customHeight="1" x14ac:dyDescent="0.3">
      <c r="A966" s="5"/>
      <c r="B966" s="5"/>
      <c r="C966" s="5"/>
      <c r="D966" s="5"/>
      <c r="F966" s="6"/>
      <c r="G966" s="4"/>
      <c r="H966" s="4"/>
      <c r="I966" s="4" t="str">
        <f t="shared" si="66"/>
        <v/>
      </c>
      <c r="BN966" s="7"/>
      <c r="BQ966" s="7"/>
    </row>
    <row r="967" spans="1:69" ht="15" customHeight="1" x14ac:dyDescent="0.3">
      <c r="A967" s="5"/>
      <c r="B967" s="5"/>
      <c r="C967" s="5"/>
      <c r="D967" s="5"/>
      <c r="F967" s="6"/>
      <c r="G967" s="4"/>
      <c r="H967" s="4"/>
      <c r="I967" s="4" t="str">
        <f t="shared" si="66"/>
        <v/>
      </c>
      <c r="BN967" s="7"/>
      <c r="BQ967" s="7"/>
    </row>
    <row r="968" spans="1:69" ht="15" customHeight="1" x14ac:dyDescent="0.3">
      <c r="A968" s="5"/>
      <c r="B968" s="5"/>
      <c r="C968" s="5"/>
      <c r="D968" s="5"/>
      <c r="F968" s="6"/>
      <c r="G968" s="4"/>
      <c r="H968" s="4"/>
      <c r="I968" s="4" t="str">
        <f t="shared" si="66"/>
        <v/>
      </c>
      <c r="BN968" s="7"/>
      <c r="BQ968" s="7"/>
    </row>
    <row r="969" spans="1:69" ht="15" customHeight="1" x14ac:dyDescent="0.3">
      <c r="A969" s="5"/>
      <c r="B969" s="5"/>
      <c r="C969" s="5"/>
      <c r="D969" s="5"/>
      <c r="F969" s="6"/>
      <c r="G969" s="4"/>
      <c r="H969" s="4"/>
      <c r="I969" s="4" t="str">
        <f t="shared" si="66"/>
        <v/>
      </c>
      <c r="BN969" s="7"/>
      <c r="BQ969" s="7"/>
    </row>
    <row r="970" spans="1:69" ht="15" customHeight="1" x14ac:dyDescent="0.3">
      <c r="A970" s="5"/>
      <c r="B970" s="5"/>
      <c r="C970" s="5"/>
      <c r="D970" s="5"/>
      <c r="F970" s="6"/>
      <c r="G970" s="4"/>
      <c r="H970" s="4"/>
      <c r="I970" s="4" t="str">
        <f t="shared" si="66"/>
        <v/>
      </c>
      <c r="BN970" s="7"/>
      <c r="BQ970" s="7"/>
    </row>
    <row r="971" spans="1:69" ht="15" customHeight="1" x14ac:dyDescent="0.3">
      <c r="A971" s="5"/>
      <c r="B971" s="5"/>
      <c r="C971" s="5"/>
      <c r="D971" s="5"/>
      <c r="F971" s="6"/>
      <c r="G971" s="4"/>
      <c r="H971" s="4"/>
      <c r="I971" s="4" t="str">
        <f t="shared" si="66"/>
        <v/>
      </c>
      <c r="BN971" s="7"/>
      <c r="BQ971" s="7"/>
    </row>
    <row r="972" spans="1:69" ht="15" customHeight="1" x14ac:dyDescent="0.3">
      <c r="A972" s="5"/>
      <c r="B972" s="5"/>
      <c r="C972" s="5"/>
      <c r="D972" s="5"/>
      <c r="F972" s="6"/>
      <c r="G972" s="4"/>
      <c r="H972" s="4"/>
      <c r="I972" s="4" t="str">
        <f t="shared" si="66"/>
        <v/>
      </c>
      <c r="BN972" s="7"/>
      <c r="BQ972" s="7"/>
    </row>
    <row r="973" spans="1:69" ht="15" customHeight="1" x14ac:dyDescent="0.3">
      <c r="A973" s="5"/>
      <c r="B973" s="5"/>
      <c r="C973" s="5"/>
      <c r="D973" s="5"/>
      <c r="F973" s="6"/>
      <c r="G973" s="4"/>
      <c r="H973" s="4"/>
      <c r="I973" s="4" t="str">
        <f t="shared" si="66"/>
        <v/>
      </c>
      <c r="BN973" s="7"/>
      <c r="BQ973" s="7"/>
    </row>
    <row r="974" spans="1:69" ht="15" customHeight="1" x14ac:dyDescent="0.3">
      <c r="A974" s="5"/>
      <c r="B974" s="5"/>
      <c r="C974" s="5"/>
      <c r="D974" s="5"/>
      <c r="F974" s="6"/>
      <c r="G974" s="4"/>
      <c r="H974" s="4"/>
      <c r="I974" s="4" t="str">
        <f t="shared" si="66"/>
        <v/>
      </c>
      <c r="BN974" s="7"/>
      <c r="BQ974" s="7"/>
    </row>
    <row r="975" spans="1:69" ht="15" customHeight="1" x14ac:dyDescent="0.3">
      <c r="A975" s="5"/>
      <c r="B975" s="5"/>
      <c r="C975" s="5"/>
      <c r="D975" s="5"/>
      <c r="F975" s="6"/>
      <c r="G975" s="4"/>
      <c r="H975" s="4"/>
      <c r="I975" s="4" t="str">
        <f t="shared" si="66"/>
        <v/>
      </c>
      <c r="BN975" s="7"/>
      <c r="BQ975" s="7"/>
    </row>
    <row r="976" spans="1:69" ht="15" customHeight="1" x14ac:dyDescent="0.3">
      <c r="A976" s="5"/>
      <c r="B976" s="5"/>
      <c r="C976" s="5"/>
      <c r="D976" s="5"/>
      <c r="F976" s="6"/>
      <c r="G976" s="4"/>
      <c r="H976" s="4"/>
      <c r="I976" s="4" t="str">
        <f t="shared" si="66"/>
        <v/>
      </c>
      <c r="BN976" s="7"/>
      <c r="BQ976" s="7"/>
    </row>
    <row r="977" spans="1:69" ht="15" customHeight="1" x14ac:dyDescent="0.3">
      <c r="A977" s="5"/>
      <c r="B977" s="5"/>
      <c r="C977" s="5"/>
      <c r="D977" s="5"/>
      <c r="F977" s="6"/>
      <c r="G977" s="4"/>
      <c r="H977" s="4"/>
      <c r="I977" s="4" t="str">
        <f t="shared" si="66"/>
        <v/>
      </c>
      <c r="BN977" s="7"/>
      <c r="BQ977" s="7"/>
    </row>
    <row r="978" spans="1:69" ht="15" customHeight="1" x14ac:dyDescent="0.3">
      <c r="A978" s="5"/>
      <c r="B978" s="5"/>
      <c r="C978" s="5"/>
      <c r="D978" s="5"/>
      <c r="F978" s="6"/>
      <c r="G978" s="4"/>
      <c r="H978" s="4"/>
      <c r="I978" s="4" t="str">
        <f t="shared" si="66"/>
        <v/>
      </c>
      <c r="BN978" s="7"/>
      <c r="BQ978" s="7"/>
    </row>
    <row r="979" spans="1:69" ht="15" customHeight="1" x14ac:dyDescent="0.3">
      <c r="A979" s="5"/>
      <c r="B979" s="5"/>
      <c r="C979" s="5"/>
      <c r="D979" s="5"/>
      <c r="F979" s="6"/>
      <c r="G979" s="4"/>
      <c r="H979" s="4"/>
      <c r="I979" s="4" t="str">
        <f t="shared" si="66"/>
        <v/>
      </c>
      <c r="BN979" s="7"/>
      <c r="BQ979" s="7"/>
    </row>
    <row r="980" spans="1:69" ht="15" customHeight="1" x14ac:dyDescent="0.3">
      <c r="A980" s="5"/>
      <c r="B980" s="5"/>
      <c r="C980" s="5"/>
      <c r="D980" s="5"/>
      <c r="F980" s="6"/>
      <c r="G980" s="4"/>
      <c r="H980" s="4"/>
      <c r="I980" s="4" t="str">
        <f t="shared" si="66"/>
        <v/>
      </c>
      <c r="BN980" s="7"/>
      <c r="BQ980" s="7"/>
    </row>
    <row r="981" spans="1:69" ht="15" customHeight="1" x14ac:dyDescent="0.3">
      <c r="A981" s="5"/>
      <c r="B981" s="5"/>
      <c r="C981" s="5"/>
      <c r="D981" s="5"/>
      <c r="F981" s="6"/>
      <c r="G981" s="4"/>
      <c r="H981" s="4"/>
      <c r="I981" s="4" t="str">
        <f t="shared" si="66"/>
        <v/>
      </c>
      <c r="BN981" s="7"/>
      <c r="BQ981" s="7"/>
    </row>
    <row r="982" spans="1:69" ht="15" customHeight="1" x14ac:dyDescent="0.3">
      <c r="A982" s="5"/>
      <c r="B982" s="5"/>
      <c r="C982" s="5"/>
      <c r="D982" s="5"/>
      <c r="F982" s="6"/>
      <c r="G982" s="4"/>
      <c r="H982" s="4"/>
      <c r="I982" s="4" t="str">
        <f t="shared" si="66"/>
        <v/>
      </c>
      <c r="BN982" s="7"/>
      <c r="BQ982" s="7"/>
    </row>
    <row r="983" spans="1:69" ht="15" customHeight="1" x14ac:dyDescent="0.3">
      <c r="A983" s="5"/>
      <c r="B983" s="5"/>
      <c r="C983" s="5"/>
      <c r="D983" s="5"/>
      <c r="F983" s="6"/>
      <c r="G983" s="4"/>
      <c r="H983" s="4"/>
      <c r="I983" s="4" t="str">
        <f t="shared" si="66"/>
        <v/>
      </c>
      <c r="BN983" s="7"/>
      <c r="BQ983" s="7"/>
    </row>
    <row r="984" spans="1:69" ht="15" customHeight="1" x14ac:dyDescent="0.3">
      <c r="A984" s="5"/>
      <c r="B984" s="5"/>
      <c r="C984" s="5"/>
      <c r="D984" s="5"/>
      <c r="F984" s="6"/>
      <c r="G984" s="4"/>
      <c r="H984" s="4"/>
      <c r="I984" s="4" t="str">
        <f t="shared" si="66"/>
        <v/>
      </c>
      <c r="BN984" s="7"/>
      <c r="BQ984" s="7"/>
    </row>
    <row r="985" spans="1:69" ht="15" customHeight="1" x14ac:dyDescent="0.3">
      <c r="A985" s="5"/>
      <c r="B985" s="5"/>
      <c r="C985" s="5"/>
      <c r="D985" s="5"/>
      <c r="F985" s="6"/>
      <c r="G985" s="4"/>
      <c r="H985" s="4"/>
      <c r="I985" s="4" t="str">
        <f t="shared" si="66"/>
        <v/>
      </c>
      <c r="BN985" s="7"/>
      <c r="BQ985" s="7"/>
    </row>
    <row r="986" spans="1:69" ht="15" customHeight="1" x14ac:dyDescent="0.3">
      <c r="A986" s="5"/>
      <c r="B986" s="5"/>
      <c r="C986" s="5"/>
      <c r="D986" s="5"/>
      <c r="F986" s="6"/>
      <c r="G986" s="4"/>
      <c r="H986" s="4"/>
      <c r="I986" s="4" t="str">
        <f t="shared" si="66"/>
        <v/>
      </c>
      <c r="BN986" s="7"/>
      <c r="BQ986" s="7"/>
    </row>
    <row r="987" spans="1:69" ht="15" customHeight="1" x14ac:dyDescent="0.3">
      <c r="A987" s="5"/>
      <c r="B987" s="5"/>
      <c r="C987" s="5"/>
      <c r="D987" s="5"/>
      <c r="F987" s="6"/>
      <c r="G987" s="4"/>
      <c r="H987" s="4"/>
      <c r="I987" s="4" t="str">
        <f t="shared" si="66"/>
        <v/>
      </c>
      <c r="BN987" s="7"/>
      <c r="BQ987" s="7"/>
    </row>
    <row r="988" spans="1:69" ht="15" customHeight="1" x14ac:dyDescent="0.3">
      <c r="A988" s="5"/>
      <c r="B988" s="5"/>
      <c r="C988" s="5"/>
      <c r="D988" s="5"/>
      <c r="F988" s="6"/>
      <c r="G988" s="4"/>
      <c r="H988" s="4"/>
      <c r="I988" s="4" t="str">
        <f t="shared" si="66"/>
        <v/>
      </c>
      <c r="BN988" s="7"/>
      <c r="BQ988" s="7"/>
    </row>
    <row r="989" spans="1:69" ht="15" customHeight="1" x14ac:dyDescent="0.3">
      <c r="A989" s="5"/>
      <c r="B989" s="5"/>
      <c r="C989" s="5"/>
      <c r="D989" s="5"/>
      <c r="F989" s="6"/>
      <c r="G989" s="4"/>
      <c r="H989" s="4"/>
      <c r="I989" s="4" t="str">
        <f t="shared" si="66"/>
        <v/>
      </c>
      <c r="BN989" s="7"/>
      <c r="BQ989" s="7"/>
    </row>
    <row r="990" spans="1:69" ht="15" customHeight="1" x14ac:dyDescent="0.3">
      <c r="A990" s="5"/>
      <c r="B990" s="5"/>
      <c r="C990" s="5"/>
      <c r="D990" s="5"/>
      <c r="F990" s="6"/>
      <c r="G990" s="4"/>
      <c r="H990" s="4"/>
      <c r="I990" s="4" t="str">
        <f t="shared" si="66"/>
        <v/>
      </c>
      <c r="BN990" s="7"/>
      <c r="BQ990" s="7"/>
    </row>
    <row r="991" spans="1:69" ht="15" customHeight="1" x14ac:dyDescent="0.3">
      <c r="A991" s="5"/>
      <c r="B991" s="5"/>
      <c r="C991" s="5"/>
      <c r="D991" s="5"/>
      <c r="F991" s="6"/>
      <c r="G991" s="4"/>
      <c r="H991" s="4"/>
      <c r="I991" s="4" t="str">
        <f t="shared" si="66"/>
        <v/>
      </c>
      <c r="BN991" s="7"/>
      <c r="BQ991" s="7"/>
    </row>
    <row r="992" spans="1:69" ht="15" customHeight="1" x14ac:dyDescent="0.3">
      <c r="A992" s="5"/>
      <c r="B992" s="5"/>
      <c r="C992" s="5"/>
      <c r="D992" s="5"/>
      <c r="F992" s="6"/>
      <c r="G992" s="4"/>
      <c r="H992" s="4"/>
      <c r="I992" s="4" t="str">
        <f t="shared" si="66"/>
        <v/>
      </c>
      <c r="BN992" s="7"/>
      <c r="BQ992" s="7"/>
    </row>
    <row r="993" spans="1:69" ht="15" customHeight="1" x14ac:dyDescent="0.3">
      <c r="A993" s="5"/>
      <c r="B993" s="5"/>
      <c r="C993" s="5"/>
      <c r="D993" s="5"/>
      <c r="F993" s="6"/>
      <c r="G993" s="4"/>
      <c r="H993" s="4"/>
      <c r="I993" s="4" t="str">
        <f t="shared" si="66"/>
        <v/>
      </c>
      <c r="BN993" s="7"/>
      <c r="BQ993" s="7"/>
    </row>
    <row r="994" spans="1:69" ht="15" customHeight="1" x14ac:dyDescent="0.3">
      <c r="A994" s="5"/>
      <c r="B994" s="5"/>
      <c r="C994" s="5"/>
      <c r="D994" s="5"/>
      <c r="F994" s="6"/>
      <c r="G994" s="4"/>
      <c r="H994" s="4"/>
      <c r="I994" s="4" t="str">
        <f t="shared" si="66"/>
        <v/>
      </c>
      <c r="BN994" s="7"/>
      <c r="BQ994" s="7"/>
    </row>
    <row r="995" spans="1:69" ht="15" customHeight="1" x14ac:dyDescent="0.3">
      <c r="A995" s="5"/>
      <c r="B995" s="5"/>
      <c r="C995" s="5"/>
      <c r="D995" s="5"/>
      <c r="F995" s="6"/>
      <c r="G995" s="4"/>
      <c r="H995" s="4"/>
      <c r="I995" s="4" t="str">
        <f t="shared" si="66"/>
        <v/>
      </c>
      <c r="BN995" s="7"/>
      <c r="BQ995" s="7"/>
    </row>
    <row r="996" spans="1:69" ht="15" customHeight="1" x14ac:dyDescent="0.3">
      <c r="A996" s="5"/>
      <c r="B996" s="5"/>
      <c r="C996" s="5"/>
      <c r="D996" s="5"/>
      <c r="F996" s="6"/>
      <c r="G996" s="4"/>
      <c r="H996" s="4"/>
      <c r="I996" s="4" t="str">
        <f t="shared" si="66"/>
        <v/>
      </c>
      <c r="BN996" s="7"/>
      <c r="BQ996" s="7"/>
    </row>
    <row r="997" spans="1:69" ht="15" customHeight="1" x14ac:dyDescent="0.3">
      <c r="A997" s="5"/>
      <c r="B997" s="5"/>
      <c r="C997" s="5"/>
      <c r="D997" s="5"/>
      <c r="F997" s="6"/>
      <c r="G997" s="4"/>
      <c r="H997" s="4"/>
      <c r="I997" s="4" t="str">
        <f t="shared" si="66"/>
        <v/>
      </c>
      <c r="BN997" s="7"/>
      <c r="BQ997" s="7"/>
    </row>
    <row r="998" spans="1:69" ht="15" customHeight="1" x14ac:dyDescent="0.3">
      <c r="A998" s="5"/>
      <c r="B998" s="5"/>
      <c r="C998" s="5"/>
      <c r="D998" s="5"/>
      <c r="F998" s="6"/>
      <c r="G998" s="4"/>
      <c r="H998" s="4"/>
      <c r="I998" s="4" t="str">
        <f t="shared" si="66"/>
        <v/>
      </c>
      <c r="BN998" s="7"/>
      <c r="BQ998" s="7"/>
    </row>
    <row r="999" spans="1:69" ht="15" customHeight="1" x14ac:dyDescent="0.3">
      <c r="A999" s="5"/>
      <c r="B999" s="5"/>
      <c r="C999" s="5"/>
      <c r="D999" s="5"/>
      <c r="F999" s="6"/>
      <c r="G999" s="4"/>
      <c r="H999" s="4"/>
      <c r="I999" s="4" t="str">
        <f t="shared" si="66"/>
        <v/>
      </c>
      <c r="BN999" s="7"/>
      <c r="BQ999" s="7"/>
    </row>
    <row r="1000" spans="1:69" ht="15" customHeight="1" x14ac:dyDescent="0.3">
      <c r="A1000" s="5"/>
      <c r="B1000" s="5"/>
      <c r="C1000" s="5"/>
      <c r="D1000" s="5"/>
      <c r="F1000" s="6"/>
      <c r="G1000" s="4"/>
      <c r="H1000" s="4"/>
      <c r="I1000" s="4" t="str">
        <f t="shared" si="66"/>
        <v/>
      </c>
      <c r="BN1000" s="7"/>
      <c r="BQ1000" s="7"/>
    </row>
    <row r="1001" spans="1:69" ht="15" customHeight="1" x14ac:dyDescent="0.3">
      <c r="A1001" s="5"/>
      <c r="B1001" s="5"/>
      <c r="C1001" s="5"/>
      <c r="D1001" s="5"/>
      <c r="F1001" s="6"/>
      <c r="G1001" s="4"/>
      <c r="H1001" s="4"/>
      <c r="I1001" s="4" t="str">
        <f t="shared" si="66"/>
        <v/>
      </c>
      <c r="BN1001" s="7"/>
      <c r="BQ1001" s="7"/>
    </row>
    <row r="1002" spans="1:69" ht="15" customHeight="1" x14ac:dyDescent="0.3">
      <c r="A1002" s="5"/>
      <c r="B1002" s="5"/>
      <c r="C1002" s="5"/>
      <c r="D1002" s="5"/>
      <c r="F1002" s="6"/>
      <c r="G1002" s="4"/>
      <c r="H1002" s="4"/>
      <c r="I1002" s="4" t="str">
        <f t="shared" si="66"/>
        <v/>
      </c>
      <c r="BN1002" s="7"/>
      <c r="BQ1002" s="7"/>
    </row>
    <row r="1003" spans="1:69" ht="15" customHeight="1" x14ac:dyDescent="0.3">
      <c r="A1003" s="5"/>
      <c r="B1003" s="5"/>
      <c r="C1003" s="5"/>
      <c r="D1003" s="5"/>
      <c r="F1003" s="6"/>
      <c r="G1003" s="4"/>
      <c r="H1003" s="4"/>
      <c r="I1003" s="4" t="str">
        <f t="shared" si="66"/>
        <v/>
      </c>
      <c r="BN1003" s="7"/>
      <c r="BQ1003" s="7"/>
    </row>
    <row r="1004" spans="1:69" ht="15" customHeight="1" x14ac:dyDescent="0.3">
      <c r="A1004" s="5"/>
      <c r="B1004" s="5"/>
      <c r="C1004" s="5"/>
      <c r="D1004" s="5"/>
      <c r="F1004" s="6"/>
      <c r="G1004" s="4"/>
      <c r="H1004" s="4"/>
      <c r="I1004" s="4" t="str">
        <f t="shared" si="66"/>
        <v/>
      </c>
      <c r="BN1004" s="7"/>
      <c r="BQ1004" s="7"/>
    </row>
    <row r="1005" spans="1:69" ht="15" customHeight="1" x14ac:dyDescent="0.3">
      <c r="A1005" s="5"/>
      <c r="B1005" s="5"/>
      <c r="C1005" s="5"/>
      <c r="D1005" s="5"/>
      <c r="F1005" s="6"/>
      <c r="G1005" s="4"/>
      <c r="H1005" s="4"/>
      <c r="I1005" s="4" t="str">
        <f t="shared" si="66"/>
        <v/>
      </c>
      <c r="BN1005" s="7"/>
      <c r="BQ1005" s="7"/>
    </row>
    <row r="1006" spans="1:69" ht="15" customHeight="1" x14ac:dyDescent="0.3">
      <c r="A1006" s="5"/>
      <c r="B1006" s="5"/>
      <c r="C1006" s="5"/>
      <c r="D1006" s="5"/>
      <c r="F1006" s="6"/>
      <c r="G1006" s="4"/>
      <c r="H1006" s="4"/>
      <c r="I1006" s="4" t="str">
        <f t="shared" si="66"/>
        <v/>
      </c>
      <c r="BN1006" s="7"/>
      <c r="BQ1006" s="7"/>
    </row>
    <row r="1007" spans="1:69" ht="15" customHeight="1" x14ac:dyDescent="0.3">
      <c r="A1007" s="5"/>
      <c r="B1007" s="5"/>
      <c r="C1007" s="5"/>
      <c r="D1007" s="5"/>
      <c r="F1007" s="6"/>
      <c r="G1007" s="4"/>
      <c r="H1007" s="4"/>
      <c r="I1007" s="4" t="str">
        <f t="shared" si="66"/>
        <v/>
      </c>
      <c r="BN1007" s="7"/>
      <c r="BQ1007" s="7"/>
    </row>
    <row r="1008" spans="1:69" ht="15" customHeight="1" x14ac:dyDescent="0.3">
      <c r="A1008" s="5"/>
      <c r="B1008" s="5"/>
      <c r="C1008" s="5"/>
      <c r="D1008" s="5"/>
      <c r="F1008" s="6"/>
      <c r="G1008" s="4"/>
      <c r="H1008" s="4"/>
      <c r="I1008" s="4" t="str">
        <f t="shared" si="66"/>
        <v/>
      </c>
      <c r="BN1008" s="7"/>
      <c r="BQ1008" s="7"/>
    </row>
    <row r="1009" spans="1:69" ht="15" customHeight="1" x14ac:dyDescent="0.3">
      <c r="A1009" s="5"/>
      <c r="B1009" s="5"/>
      <c r="C1009" s="5"/>
      <c r="D1009" s="5"/>
      <c r="F1009" s="6"/>
      <c r="G1009" s="4"/>
      <c r="H1009" s="4"/>
      <c r="I1009" s="4" t="str">
        <f t="shared" si="66"/>
        <v/>
      </c>
      <c r="BN1009" s="7"/>
      <c r="BQ1009" s="7"/>
    </row>
    <row r="1010" spans="1:69" ht="15" customHeight="1" x14ac:dyDescent="0.3">
      <c r="A1010" s="5"/>
      <c r="B1010" s="5"/>
      <c r="C1010" s="5"/>
      <c r="D1010" s="5"/>
      <c r="F1010" s="6"/>
      <c r="G1010" s="4"/>
      <c r="H1010" s="4"/>
      <c r="I1010" s="4" t="str">
        <f t="shared" si="66"/>
        <v/>
      </c>
      <c r="BN1010" s="7"/>
      <c r="BQ1010" s="7"/>
    </row>
    <row r="1011" spans="1:69" ht="15" customHeight="1" x14ac:dyDescent="0.3">
      <c r="A1011" s="5"/>
      <c r="B1011" s="5"/>
      <c r="C1011" s="5"/>
      <c r="D1011" s="5"/>
      <c r="F1011" s="6"/>
      <c r="G1011" s="4"/>
      <c r="H1011" s="4"/>
      <c r="I1011" s="4" t="str">
        <f t="shared" si="66"/>
        <v/>
      </c>
      <c r="BN1011" s="7"/>
      <c r="BQ1011" s="7"/>
    </row>
    <row r="1012" spans="1:69" ht="15" customHeight="1" x14ac:dyDescent="0.3">
      <c r="A1012" s="5"/>
      <c r="B1012" s="5"/>
      <c r="C1012" s="5"/>
      <c r="D1012" s="5"/>
      <c r="F1012" s="6"/>
      <c r="G1012" s="4"/>
      <c r="H1012" s="4"/>
      <c r="I1012" s="4" t="str">
        <f t="shared" si="66"/>
        <v/>
      </c>
      <c r="BN1012" s="7"/>
      <c r="BQ1012" s="7"/>
    </row>
    <row r="1013" spans="1:69" ht="15" customHeight="1" x14ac:dyDescent="0.3">
      <c r="A1013" s="5"/>
      <c r="B1013" s="5"/>
      <c r="C1013" s="5"/>
      <c r="D1013" s="5"/>
      <c r="F1013" s="6"/>
      <c r="G1013" s="4"/>
      <c r="H1013" s="4"/>
      <c r="I1013" s="4" t="str">
        <f t="shared" si="66"/>
        <v/>
      </c>
      <c r="BN1013" s="7"/>
      <c r="BQ1013" s="7"/>
    </row>
    <row r="1014" spans="1:69" ht="15" customHeight="1" x14ac:dyDescent="0.3">
      <c r="A1014" s="5"/>
      <c r="B1014" s="5"/>
      <c r="C1014" s="5"/>
      <c r="D1014" s="5"/>
      <c r="F1014" s="6"/>
      <c r="G1014" s="4"/>
      <c r="H1014" s="4"/>
      <c r="I1014" s="4" t="str">
        <f t="shared" si="66"/>
        <v/>
      </c>
      <c r="BN1014" s="7"/>
      <c r="BQ1014" s="7"/>
    </row>
    <row r="1015" spans="1:69" ht="15" customHeight="1" x14ac:dyDescent="0.3">
      <c r="A1015" s="5"/>
      <c r="B1015" s="5"/>
      <c r="C1015" s="5"/>
      <c r="D1015" s="5"/>
      <c r="F1015" s="6"/>
      <c r="G1015" s="4"/>
      <c r="H1015" s="4"/>
      <c r="I1015" s="4" t="str">
        <f t="shared" si="66"/>
        <v/>
      </c>
      <c r="BN1015" s="7"/>
      <c r="BQ1015" s="7"/>
    </row>
    <row r="1016" spans="1:69" ht="15" customHeight="1" x14ac:dyDescent="0.3">
      <c r="A1016" s="5"/>
      <c r="B1016" s="5"/>
      <c r="C1016" s="5"/>
      <c r="D1016" s="5"/>
      <c r="F1016" s="6"/>
      <c r="G1016" s="4"/>
      <c r="H1016" s="4"/>
      <c r="I1016" s="4" t="str">
        <f t="shared" si="66"/>
        <v/>
      </c>
      <c r="BN1016" s="7"/>
      <c r="BQ1016" s="7"/>
    </row>
    <row r="1017" spans="1:69" ht="15" customHeight="1" x14ac:dyDescent="0.3">
      <c r="A1017" s="5"/>
      <c r="B1017" s="5"/>
      <c r="C1017" s="5"/>
      <c r="D1017" s="5"/>
      <c r="F1017" s="6"/>
      <c r="G1017" s="4"/>
      <c r="H1017" s="4"/>
      <c r="I1017" s="4" t="str">
        <f t="shared" si="66"/>
        <v/>
      </c>
      <c r="BN1017" s="7"/>
      <c r="BQ1017" s="7"/>
    </row>
    <row r="1018" spans="1:69" ht="15" customHeight="1" x14ac:dyDescent="0.3">
      <c r="A1018" s="5"/>
      <c r="B1018" s="5"/>
      <c r="C1018" s="5"/>
      <c r="D1018" s="5"/>
      <c r="F1018" s="6"/>
      <c r="G1018" s="4"/>
      <c r="H1018" s="4"/>
      <c r="I1018" s="4" t="str">
        <f t="shared" si="66"/>
        <v/>
      </c>
      <c r="BN1018" s="7"/>
      <c r="BQ1018" s="7"/>
    </row>
    <row r="1019" spans="1:69" ht="15" customHeight="1" x14ac:dyDescent="0.3">
      <c r="A1019" s="5"/>
      <c r="B1019" s="5"/>
      <c r="C1019" s="5"/>
      <c r="D1019" s="5"/>
      <c r="F1019" s="6"/>
      <c r="G1019" s="4"/>
      <c r="H1019" s="4"/>
      <c r="I1019" s="4" t="str">
        <f t="shared" si="66"/>
        <v/>
      </c>
      <c r="BN1019" s="7"/>
      <c r="BQ1019" s="7"/>
    </row>
    <row r="1020" spans="1:69" ht="15" customHeight="1" x14ac:dyDescent="0.3">
      <c r="A1020" s="5"/>
      <c r="B1020" s="5"/>
      <c r="C1020" s="5"/>
      <c r="D1020" s="5"/>
      <c r="F1020" s="6"/>
      <c r="G1020" s="4"/>
      <c r="H1020" s="4"/>
      <c r="I1020" s="4" t="str">
        <f t="shared" si="66"/>
        <v/>
      </c>
      <c r="BN1020" s="7"/>
      <c r="BQ1020" s="7"/>
    </row>
    <row r="1021" spans="1:69" ht="15" customHeight="1" x14ac:dyDescent="0.3">
      <c r="A1021" s="5"/>
      <c r="B1021" s="5"/>
      <c r="C1021" s="5"/>
      <c r="D1021" s="5"/>
      <c r="F1021" s="6"/>
      <c r="G1021" s="4"/>
      <c r="H1021" s="4"/>
      <c r="I1021" s="4" t="str">
        <f t="shared" si="66"/>
        <v/>
      </c>
      <c r="BN1021" s="7"/>
      <c r="BQ1021" s="7"/>
    </row>
    <row r="1022" spans="1:69" ht="15" customHeight="1" x14ac:dyDescent="0.3">
      <c r="A1022" s="5"/>
      <c r="B1022" s="5"/>
      <c r="C1022" s="5"/>
      <c r="D1022" s="5"/>
      <c r="F1022" s="6"/>
      <c r="G1022" s="4"/>
      <c r="H1022" s="4"/>
      <c r="I1022" s="4" t="str">
        <f t="shared" si="66"/>
        <v/>
      </c>
      <c r="BN1022" s="7"/>
      <c r="BQ1022" s="7"/>
    </row>
    <row r="1023" spans="1:69" ht="15" customHeight="1" x14ac:dyDescent="0.3">
      <c r="A1023" s="5"/>
      <c r="B1023" s="5"/>
      <c r="C1023" s="5"/>
      <c r="D1023" s="5"/>
      <c r="F1023" s="6"/>
      <c r="G1023" s="4"/>
      <c r="H1023" s="4"/>
      <c r="I1023" s="4" t="str">
        <f t="shared" si="66"/>
        <v/>
      </c>
      <c r="BN1023" s="7"/>
      <c r="BQ1023" s="7"/>
    </row>
    <row r="1024" spans="1:69" ht="15" customHeight="1" x14ac:dyDescent="0.3">
      <c r="A1024" s="5"/>
      <c r="B1024" s="5"/>
      <c r="C1024" s="5"/>
      <c r="D1024" s="5"/>
      <c r="F1024" s="6"/>
      <c r="G1024" s="4"/>
      <c r="H1024" s="4"/>
      <c r="I1024" s="4" t="str">
        <f t="shared" si="66"/>
        <v/>
      </c>
      <c r="BN1024" s="7"/>
      <c r="BQ1024" s="7"/>
    </row>
    <row r="1025" spans="1:69" ht="15" customHeight="1" x14ac:dyDescent="0.3">
      <c r="A1025" s="5"/>
      <c r="B1025" s="5"/>
      <c r="C1025" s="5"/>
      <c r="D1025" s="5"/>
      <c r="F1025" s="6"/>
      <c r="G1025" s="4"/>
      <c r="H1025" s="4"/>
      <c r="I1025" s="4" t="str">
        <f t="shared" si="66"/>
        <v/>
      </c>
      <c r="BN1025" s="7"/>
      <c r="BQ1025" s="7"/>
    </row>
    <row r="1026" spans="1:69" ht="15" customHeight="1" x14ac:dyDescent="0.3">
      <c r="A1026" s="5"/>
      <c r="B1026" s="5"/>
      <c r="C1026" s="5"/>
      <c r="D1026" s="5"/>
      <c r="F1026" s="6"/>
      <c r="G1026" s="4"/>
      <c r="H1026" s="4"/>
      <c r="I1026" s="4" t="str">
        <f t="shared" si="66"/>
        <v/>
      </c>
      <c r="BN1026" s="7"/>
      <c r="BQ1026" s="7"/>
    </row>
    <row r="1027" spans="1:69" ht="15" customHeight="1" x14ac:dyDescent="0.3">
      <c r="A1027" s="5"/>
      <c r="B1027" s="5"/>
      <c r="C1027" s="5"/>
      <c r="D1027" s="5"/>
      <c r="F1027" s="6"/>
      <c r="G1027" s="4"/>
      <c r="H1027" s="4"/>
      <c r="I1027" s="4" t="str">
        <f t="shared" ref="I1027:I1090" si="67">IFERROR(MID(A1027,FIND("Sorry, the entered Application Number",A1027),68),"")</f>
        <v/>
      </c>
      <c r="BN1027" s="7"/>
      <c r="BQ1027" s="7"/>
    </row>
    <row r="1028" spans="1:69" ht="15" customHeight="1" x14ac:dyDescent="0.3">
      <c r="A1028" s="5"/>
      <c r="B1028" s="5"/>
      <c r="C1028" s="5"/>
      <c r="D1028" s="5"/>
      <c r="F1028" s="6"/>
      <c r="G1028" s="4"/>
      <c r="H1028" s="4"/>
      <c r="I1028" s="4" t="str">
        <f t="shared" si="67"/>
        <v/>
      </c>
      <c r="BN1028" s="7"/>
      <c r="BQ1028" s="7"/>
    </row>
    <row r="1029" spans="1:69" ht="15" customHeight="1" x14ac:dyDescent="0.3">
      <c r="A1029" s="5"/>
      <c r="B1029" s="5"/>
      <c r="C1029" s="5"/>
      <c r="D1029" s="5"/>
      <c r="F1029" s="6"/>
      <c r="G1029" s="4"/>
      <c r="H1029" s="4"/>
      <c r="I1029" s="4" t="str">
        <f t="shared" si="67"/>
        <v/>
      </c>
      <c r="BN1029" s="7"/>
      <c r="BQ1029" s="7"/>
    </row>
    <row r="1030" spans="1:69" ht="15" customHeight="1" x14ac:dyDescent="0.3">
      <c r="A1030" s="5"/>
      <c r="B1030" s="5"/>
      <c r="C1030" s="5"/>
      <c r="D1030" s="5"/>
      <c r="F1030" s="6"/>
      <c r="G1030" s="4"/>
      <c r="H1030" s="4"/>
      <c r="I1030" s="4" t="str">
        <f t="shared" si="67"/>
        <v/>
      </c>
      <c r="BN1030" s="7"/>
      <c r="BQ1030" s="7"/>
    </row>
    <row r="1031" spans="1:69" ht="15" customHeight="1" x14ac:dyDescent="0.3">
      <c r="A1031" s="5"/>
      <c r="B1031" s="5"/>
      <c r="C1031" s="5"/>
      <c r="D1031" s="5"/>
      <c r="F1031" s="6"/>
      <c r="G1031" s="4"/>
      <c r="H1031" s="4"/>
      <c r="I1031" s="4" t="str">
        <f t="shared" si="67"/>
        <v/>
      </c>
      <c r="BN1031" s="7"/>
      <c r="BQ1031" s="7"/>
    </row>
    <row r="1032" spans="1:69" ht="15" customHeight="1" x14ac:dyDescent="0.3">
      <c r="A1032" s="5"/>
      <c r="B1032" s="5"/>
      <c r="C1032" s="5"/>
      <c r="D1032" s="5"/>
      <c r="F1032" s="6"/>
      <c r="G1032" s="4"/>
      <c r="H1032" s="4"/>
      <c r="I1032" s="4" t="str">
        <f t="shared" si="67"/>
        <v/>
      </c>
      <c r="BN1032" s="7"/>
      <c r="BQ1032" s="7"/>
    </row>
    <row r="1033" spans="1:69" ht="15" customHeight="1" x14ac:dyDescent="0.3">
      <c r="A1033" s="5"/>
      <c r="B1033" s="5"/>
      <c r="C1033" s="5"/>
      <c r="D1033" s="5"/>
      <c r="F1033" s="6"/>
      <c r="G1033" s="4"/>
      <c r="H1033" s="4"/>
      <c r="I1033" s="4" t="str">
        <f t="shared" si="67"/>
        <v/>
      </c>
      <c r="BN1033" s="7"/>
      <c r="BQ1033" s="7"/>
    </row>
    <row r="1034" spans="1:69" ht="15" customHeight="1" x14ac:dyDescent="0.3">
      <c r="A1034" s="5"/>
      <c r="B1034" s="5"/>
      <c r="C1034" s="5"/>
      <c r="D1034" s="5"/>
      <c r="F1034" s="6"/>
      <c r="G1034" s="4"/>
      <c r="H1034" s="4"/>
      <c r="I1034" s="4" t="str">
        <f t="shared" si="67"/>
        <v/>
      </c>
      <c r="BN1034" s="7"/>
      <c r="BQ1034" s="7"/>
    </row>
    <row r="1035" spans="1:69" ht="15" customHeight="1" x14ac:dyDescent="0.3">
      <c r="A1035" s="5"/>
      <c r="B1035" s="5"/>
      <c r="C1035" s="5"/>
      <c r="D1035" s="5"/>
      <c r="F1035" s="6"/>
      <c r="G1035" s="4"/>
      <c r="H1035" s="4"/>
      <c r="I1035" s="4" t="str">
        <f t="shared" si="67"/>
        <v/>
      </c>
      <c r="BN1035" s="7"/>
      <c r="BQ1035" s="7"/>
    </row>
    <row r="1036" spans="1:69" ht="15" customHeight="1" x14ac:dyDescent="0.3">
      <c r="A1036" s="5"/>
      <c r="B1036" s="5"/>
      <c r="C1036" s="5"/>
      <c r="D1036" s="5"/>
      <c r="F1036" s="6"/>
      <c r="G1036" s="4"/>
      <c r="H1036" s="4"/>
      <c r="I1036" s="4" t="str">
        <f t="shared" si="67"/>
        <v/>
      </c>
      <c r="BN1036" s="7"/>
      <c r="BQ1036" s="7"/>
    </row>
    <row r="1037" spans="1:69" ht="15" customHeight="1" x14ac:dyDescent="0.3">
      <c r="A1037" s="5"/>
      <c r="B1037" s="5"/>
      <c r="C1037" s="5"/>
      <c r="D1037" s="5"/>
      <c r="F1037" s="6"/>
      <c r="G1037" s="4"/>
      <c r="H1037" s="4"/>
      <c r="I1037" s="4" t="str">
        <f t="shared" si="67"/>
        <v/>
      </c>
      <c r="BN1037" s="7"/>
      <c r="BQ1037" s="7"/>
    </row>
    <row r="1038" spans="1:69" ht="15" customHeight="1" x14ac:dyDescent="0.3">
      <c r="A1038" s="5"/>
      <c r="B1038" s="5"/>
      <c r="C1038" s="5"/>
      <c r="D1038" s="5"/>
      <c r="F1038" s="6"/>
      <c r="G1038" s="4"/>
      <c r="H1038" s="4"/>
      <c r="I1038" s="4" t="str">
        <f t="shared" si="67"/>
        <v/>
      </c>
      <c r="BN1038" s="7"/>
      <c r="BQ1038" s="7"/>
    </row>
    <row r="1039" spans="1:69" ht="15" customHeight="1" x14ac:dyDescent="0.3">
      <c r="A1039" s="5"/>
      <c r="B1039" s="5"/>
      <c r="C1039" s="5"/>
      <c r="D1039" s="5"/>
      <c r="F1039" s="6"/>
      <c r="G1039" s="4"/>
      <c r="H1039" s="4"/>
      <c r="I1039" s="4" t="str">
        <f t="shared" si="67"/>
        <v/>
      </c>
      <c r="BN1039" s="7"/>
      <c r="BQ1039" s="7"/>
    </row>
    <row r="1040" spans="1:69" ht="15" customHeight="1" x14ac:dyDescent="0.3">
      <c r="A1040" s="5"/>
      <c r="B1040" s="5"/>
      <c r="C1040" s="5"/>
      <c r="D1040" s="5"/>
      <c r="F1040" s="6"/>
      <c r="G1040" s="4"/>
      <c r="H1040" s="4"/>
      <c r="I1040" s="4" t="str">
        <f t="shared" si="67"/>
        <v/>
      </c>
      <c r="BN1040" s="7"/>
      <c r="BQ1040" s="7"/>
    </row>
    <row r="1041" spans="1:69" ht="15" customHeight="1" x14ac:dyDescent="0.3">
      <c r="A1041" s="5"/>
      <c r="B1041" s="5"/>
      <c r="C1041" s="5"/>
      <c r="D1041" s="5"/>
      <c r="F1041" s="6"/>
      <c r="G1041" s="4"/>
      <c r="H1041" s="4"/>
      <c r="I1041" s="4" t="str">
        <f t="shared" si="67"/>
        <v/>
      </c>
      <c r="BN1041" s="7"/>
      <c r="BQ1041" s="7"/>
    </row>
    <row r="1042" spans="1:69" ht="15" customHeight="1" x14ac:dyDescent="0.3">
      <c r="A1042" s="5"/>
      <c r="B1042" s="5"/>
      <c r="C1042" s="5"/>
      <c r="D1042" s="5"/>
      <c r="F1042" s="6"/>
      <c r="G1042" s="4"/>
      <c r="H1042" s="4"/>
      <c r="I1042" s="4" t="str">
        <f t="shared" si="67"/>
        <v/>
      </c>
      <c r="BN1042" s="7"/>
      <c r="BQ1042" s="7"/>
    </row>
    <row r="1043" spans="1:69" ht="15" customHeight="1" x14ac:dyDescent="0.3">
      <c r="A1043" s="5"/>
      <c r="B1043" s="5"/>
      <c r="C1043" s="5"/>
      <c r="D1043" s="5"/>
      <c r="F1043" s="6"/>
      <c r="G1043" s="4"/>
      <c r="H1043" s="4"/>
      <c r="I1043" s="4" t="str">
        <f t="shared" si="67"/>
        <v/>
      </c>
      <c r="BN1043" s="7"/>
      <c r="BQ1043" s="7"/>
    </row>
    <row r="1044" spans="1:69" ht="15" customHeight="1" x14ac:dyDescent="0.3">
      <c r="A1044" s="5"/>
      <c r="B1044" s="5"/>
      <c r="C1044" s="5"/>
      <c r="D1044" s="5"/>
      <c r="F1044" s="6"/>
      <c r="G1044" s="4"/>
      <c r="H1044" s="4"/>
      <c r="I1044" s="4" t="str">
        <f t="shared" si="67"/>
        <v/>
      </c>
      <c r="BN1044" s="7"/>
      <c r="BQ1044" s="7"/>
    </row>
    <row r="1045" spans="1:69" ht="15" customHeight="1" x14ac:dyDescent="0.3">
      <c r="A1045" s="5"/>
      <c r="B1045" s="5"/>
      <c r="C1045" s="5"/>
      <c r="D1045" s="5"/>
      <c r="F1045" s="6"/>
      <c r="G1045" s="4"/>
      <c r="H1045" s="4"/>
      <c r="I1045" s="4" t="str">
        <f t="shared" si="67"/>
        <v/>
      </c>
      <c r="BN1045" s="7"/>
      <c r="BQ1045" s="7"/>
    </row>
    <row r="1046" spans="1:69" ht="15" customHeight="1" x14ac:dyDescent="0.3">
      <c r="A1046" s="5"/>
      <c r="B1046" s="5"/>
      <c r="C1046" s="5"/>
      <c r="D1046" s="5"/>
      <c r="F1046" s="6"/>
      <c r="G1046" s="4"/>
      <c r="H1046" s="4"/>
      <c r="I1046" s="4" t="str">
        <f t="shared" si="67"/>
        <v/>
      </c>
      <c r="BN1046" s="7"/>
      <c r="BQ1046" s="7"/>
    </row>
    <row r="1047" spans="1:69" ht="15" customHeight="1" x14ac:dyDescent="0.3">
      <c r="A1047" s="5"/>
      <c r="B1047" s="5"/>
      <c r="C1047" s="5"/>
      <c r="D1047" s="5"/>
      <c r="F1047" s="6"/>
      <c r="G1047" s="4"/>
      <c r="H1047" s="4"/>
      <c r="I1047" s="4" t="str">
        <f t="shared" si="67"/>
        <v/>
      </c>
      <c r="BN1047" s="7"/>
      <c r="BQ1047" s="7"/>
    </row>
    <row r="1048" spans="1:69" ht="15" customHeight="1" x14ac:dyDescent="0.3">
      <c r="A1048" s="5"/>
      <c r="B1048" s="5"/>
      <c r="C1048" s="5"/>
      <c r="D1048" s="5"/>
      <c r="F1048" s="6"/>
      <c r="G1048" s="4"/>
      <c r="H1048" s="4"/>
      <c r="I1048" s="4" t="str">
        <f t="shared" si="67"/>
        <v/>
      </c>
      <c r="BN1048" s="7"/>
      <c r="BQ1048" s="7"/>
    </row>
    <row r="1049" spans="1:69" ht="15" customHeight="1" x14ac:dyDescent="0.3">
      <c r="A1049" s="5"/>
      <c r="B1049" s="5"/>
      <c r="C1049" s="5"/>
      <c r="D1049" s="5"/>
      <c r="F1049" s="6"/>
      <c r="G1049" s="4"/>
      <c r="H1049" s="4"/>
      <c r="I1049" s="4" t="str">
        <f t="shared" si="67"/>
        <v/>
      </c>
      <c r="BN1049" s="7"/>
      <c r="BQ1049" s="7"/>
    </row>
    <row r="1050" spans="1:69" ht="15" customHeight="1" x14ac:dyDescent="0.3">
      <c r="A1050" s="5"/>
      <c r="B1050" s="5"/>
      <c r="C1050" s="5"/>
      <c r="D1050" s="5"/>
      <c r="F1050" s="6"/>
      <c r="G1050" s="4"/>
      <c r="H1050" s="4"/>
      <c r="I1050" s="4" t="str">
        <f t="shared" si="67"/>
        <v/>
      </c>
      <c r="BN1050" s="7"/>
      <c r="BQ1050" s="7"/>
    </row>
    <row r="1051" spans="1:69" ht="15" customHeight="1" x14ac:dyDescent="0.3">
      <c r="A1051" s="5"/>
      <c r="B1051" s="5"/>
      <c r="C1051" s="5"/>
      <c r="D1051" s="5"/>
      <c r="F1051" s="6"/>
      <c r="G1051" s="4"/>
      <c r="H1051" s="4"/>
      <c r="I1051" s="4" t="str">
        <f t="shared" si="67"/>
        <v/>
      </c>
      <c r="BN1051" s="7"/>
      <c r="BQ1051" s="7"/>
    </row>
    <row r="1052" spans="1:69" ht="15" customHeight="1" x14ac:dyDescent="0.3">
      <c r="A1052" s="5"/>
      <c r="B1052" s="5"/>
      <c r="C1052" s="5"/>
      <c r="D1052" s="5"/>
      <c r="F1052" s="6"/>
      <c r="G1052" s="4"/>
      <c r="H1052" s="4"/>
      <c r="I1052" s="4" t="str">
        <f t="shared" si="67"/>
        <v/>
      </c>
      <c r="BN1052" s="7"/>
      <c r="BQ1052" s="7"/>
    </row>
    <row r="1053" spans="1:69" ht="15" customHeight="1" x14ac:dyDescent="0.3">
      <c r="A1053" s="5"/>
      <c r="B1053" s="5"/>
      <c r="C1053" s="5"/>
      <c r="D1053" s="5"/>
      <c r="F1053" s="6"/>
      <c r="G1053" s="4"/>
      <c r="H1053" s="4"/>
      <c r="I1053" s="4" t="str">
        <f t="shared" si="67"/>
        <v/>
      </c>
      <c r="BN1053" s="7"/>
      <c r="BQ1053" s="7"/>
    </row>
    <row r="1054" spans="1:69" ht="15" customHeight="1" x14ac:dyDescent="0.3">
      <c r="A1054" s="5"/>
      <c r="B1054" s="5"/>
      <c r="C1054" s="5"/>
      <c r="D1054" s="5"/>
      <c r="F1054" s="6"/>
      <c r="G1054" s="4"/>
      <c r="H1054" s="4"/>
      <c r="I1054" s="4" t="str">
        <f t="shared" si="67"/>
        <v/>
      </c>
      <c r="BN1054" s="7"/>
      <c r="BQ1054" s="7"/>
    </row>
    <row r="1055" spans="1:69" ht="15" customHeight="1" x14ac:dyDescent="0.3">
      <c r="A1055" s="5"/>
      <c r="B1055" s="5"/>
      <c r="C1055" s="5"/>
      <c r="D1055" s="5"/>
      <c r="F1055" s="6"/>
      <c r="G1055" s="4"/>
      <c r="H1055" s="4"/>
      <c r="I1055" s="4" t="str">
        <f t="shared" si="67"/>
        <v/>
      </c>
      <c r="BN1055" s="7"/>
      <c r="BQ1055" s="7"/>
    </row>
    <row r="1056" spans="1:69" ht="15" customHeight="1" x14ac:dyDescent="0.3">
      <c r="A1056" s="5"/>
      <c r="B1056" s="5"/>
      <c r="C1056" s="5"/>
      <c r="D1056" s="5"/>
      <c r="F1056" s="6"/>
      <c r="G1056" s="4"/>
      <c r="H1056" s="4"/>
      <c r="I1056" s="4" t="str">
        <f t="shared" si="67"/>
        <v/>
      </c>
      <c r="BN1056" s="7"/>
      <c r="BQ1056" s="7"/>
    </row>
    <row r="1057" spans="1:69" ht="15" customHeight="1" x14ac:dyDescent="0.3">
      <c r="A1057" s="5"/>
      <c r="B1057" s="5"/>
      <c r="C1057" s="5"/>
      <c r="D1057" s="5"/>
      <c r="F1057" s="6"/>
      <c r="G1057" s="4"/>
      <c r="H1057" s="4"/>
      <c r="I1057" s="4" t="str">
        <f t="shared" si="67"/>
        <v/>
      </c>
      <c r="BN1057" s="7"/>
      <c r="BQ1057" s="7"/>
    </row>
    <row r="1058" spans="1:69" ht="15" customHeight="1" x14ac:dyDescent="0.3">
      <c r="A1058" s="5"/>
      <c r="B1058" s="5"/>
      <c r="C1058" s="5"/>
      <c r="D1058" s="5"/>
      <c r="F1058" s="6"/>
      <c r="G1058" s="4"/>
      <c r="H1058" s="4"/>
      <c r="I1058" s="4" t="str">
        <f t="shared" si="67"/>
        <v/>
      </c>
      <c r="BN1058" s="7"/>
      <c r="BQ1058" s="7"/>
    </row>
    <row r="1059" spans="1:69" ht="15" customHeight="1" x14ac:dyDescent="0.3">
      <c r="A1059" s="5"/>
      <c r="B1059" s="5"/>
      <c r="C1059" s="5"/>
      <c r="D1059" s="5"/>
      <c r="F1059" s="6"/>
      <c r="G1059" s="4"/>
      <c r="H1059" s="4"/>
      <c r="I1059" s="4" t="str">
        <f t="shared" si="67"/>
        <v/>
      </c>
      <c r="BN1059" s="7"/>
      <c r="BQ1059" s="7"/>
    </row>
    <row r="1060" spans="1:69" ht="15" customHeight="1" x14ac:dyDescent="0.3">
      <c r="A1060" s="5"/>
      <c r="B1060" s="5"/>
      <c r="C1060" s="5"/>
      <c r="D1060" s="5"/>
      <c r="F1060" s="6"/>
      <c r="G1060" s="4"/>
      <c r="H1060" s="4"/>
      <c r="I1060" s="4" t="str">
        <f t="shared" si="67"/>
        <v/>
      </c>
      <c r="BN1060" s="7"/>
      <c r="BQ1060" s="7"/>
    </row>
    <row r="1061" spans="1:69" ht="15" customHeight="1" x14ac:dyDescent="0.3">
      <c r="A1061" s="5"/>
      <c r="B1061" s="5"/>
      <c r="C1061" s="5"/>
      <c r="D1061" s="5"/>
      <c r="F1061" s="6"/>
      <c r="G1061" s="4"/>
      <c r="H1061" s="4"/>
      <c r="I1061" s="4" t="str">
        <f t="shared" si="67"/>
        <v/>
      </c>
      <c r="BN1061" s="7"/>
      <c r="BQ1061" s="7"/>
    </row>
    <row r="1062" spans="1:69" ht="15" customHeight="1" x14ac:dyDescent="0.3">
      <c r="A1062" s="5"/>
      <c r="B1062" s="5"/>
      <c r="C1062" s="5"/>
      <c r="D1062" s="5"/>
      <c r="F1062" s="6"/>
      <c r="G1062" s="4"/>
      <c r="H1062" s="4"/>
      <c r="I1062" s="4" t="str">
        <f t="shared" si="67"/>
        <v/>
      </c>
      <c r="BN1062" s="7"/>
      <c r="BQ1062" s="7"/>
    </row>
    <row r="1063" spans="1:69" ht="15" customHeight="1" x14ac:dyDescent="0.3">
      <c r="A1063" s="5"/>
      <c r="B1063" s="5"/>
      <c r="C1063" s="5"/>
      <c r="D1063" s="5"/>
      <c r="F1063" s="6"/>
      <c r="G1063" s="4"/>
      <c r="H1063" s="4"/>
      <c r="I1063" s="4" t="str">
        <f t="shared" si="67"/>
        <v/>
      </c>
      <c r="BN1063" s="7"/>
      <c r="BQ1063" s="7"/>
    </row>
    <row r="1064" spans="1:69" ht="15" customHeight="1" x14ac:dyDescent="0.3">
      <c r="A1064" s="5"/>
      <c r="B1064" s="5"/>
      <c r="C1064" s="5"/>
      <c r="D1064" s="5"/>
      <c r="F1064" s="6"/>
      <c r="G1064" s="4"/>
      <c r="H1064" s="4"/>
      <c r="I1064" s="4" t="str">
        <f t="shared" si="67"/>
        <v/>
      </c>
      <c r="BN1064" s="7"/>
      <c r="BQ1064" s="7"/>
    </row>
    <row r="1065" spans="1:69" ht="15" customHeight="1" x14ac:dyDescent="0.3">
      <c r="A1065" s="5"/>
      <c r="B1065" s="5"/>
      <c r="C1065" s="5"/>
      <c r="D1065" s="5"/>
      <c r="F1065" s="6"/>
      <c r="G1065" s="4"/>
      <c r="H1065" s="4"/>
      <c r="I1065" s="4" t="str">
        <f t="shared" si="67"/>
        <v/>
      </c>
      <c r="BN1065" s="7"/>
      <c r="BQ1065" s="7"/>
    </row>
    <row r="1066" spans="1:69" ht="15" customHeight="1" x14ac:dyDescent="0.3">
      <c r="A1066" s="5"/>
      <c r="B1066" s="5"/>
      <c r="C1066" s="5"/>
      <c r="D1066" s="5"/>
      <c r="F1066" s="6"/>
      <c r="G1066" s="4"/>
      <c r="H1066" s="4"/>
      <c r="I1066" s="4" t="str">
        <f t="shared" si="67"/>
        <v/>
      </c>
      <c r="BN1066" s="7"/>
      <c r="BQ1066" s="7"/>
    </row>
    <row r="1067" spans="1:69" ht="15" customHeight="1" x14ac:dyDescent="0.3">
      <c r="A1067" s="5"/>
      <c r="B1067" s="5"/>
      <c r="C1067" s="5"/>
      <c r="D1067" s="5"/>
      <c r="F1067" s="6"/>
      <c r="G1067" s="4"/>
      <c r="H1067" s="4"/>
      <c r="I1067" s="4" t="str">
        <f t="shared" si="67"/>
        <v/>
      </c>
      <c r="BN1067" s="7"/>
      <c r="BQ1067" s="7"/>
    </row>
    <row r="1068" spans="1:69" ht="15" customHeight="1" x14ac:dyDescent="0.3">
      <c r="A1068" s="5"/>
      <c r="B1068" s="5"/>
      <c r="C1068" s="5"/>
      <c r="D1068" s="5"/>
      <c r="F1068" s="6"/>
      <c r="G1068" s="4"/>
      <c r="H1068" s="4"/>
      <c r="I1068" s="4" t="str">
        <f t="shared" si="67"/>
        <v/>
      </c>
      <c r="BN1068" s="7"/>
      <c r="BQ1068" s="7"/>
    </row>
    <row r="1069" spans="1:69" ht="15" customHeight="1" x14ac:dyDescent="0.3">
      <c r="A1069" s="5"/>
      <c r="B1069" s="5"/>
      <c r="C1069" s="5"/>
      <c r="D1069" s="5"/>
      <c r="F1069" s="6"/>
      <c r="G1069" s="4"/>
      <c r="H1069" s="4"/>
      <c r="I1069" s="4" t="str">
        <f t="shared" si="67"/>
        <v/>
      </c>
      <c r="BN1069" s="7"/>
      <c r="BQ1069" s="7"/>
    </row>
    <row r="1070" spans="1:69" ht="15" customHeight="1" x14ac:dyDescent="0.3">
      <c r="A1070" s="5"/>
      <c r="B1070" s="5"/>
      <c r="C1070" s="5"/>
      <c r="D1070" s="5"/>
      <c r="F1070" s="6"/>
      <c r="G1070" s="4"/>
      <c r="H1070" s="4"/>
      <c r="I1070" s="4" t="str">
        <f t="shared" si="67"/>
        <v/>
      </c>
      <c r="BN1070" s="7"/>
      <c r="BQ1070" s="7"/>
    </row>
    <row r="1071" spans="1:69" ht="15" customHeight="1" x14ac:dyDescent="0.3">
      <c r="A1071" s="5"/>
      <c r="B1071" s="5"/>
      <c r="C1071" s="5"/>
      <c r="D1071" s="5"/>
      <c r="F1071" s="6"/>
      <c r="G1071" s="4"/>
      <c r="H1071" s="4"/>
      <c r="I1071" s="4" t="str">
        <f t="shared" si="67"/>
        <v/>
      </c>
      <c r="BN1071" s="7"/>
      <c r="BQ1071" s="7"/>
    </row>
    <row r="1072" spans="1:69" ht="15" customHeight="1" x14ac:dyDescent="0.3">
      <c r="A1072" s="5"/>
      <c r="B1072" s="5"/>
      <c r="C1072" s="5"/>
      <c r="D1072" s="5"/>
      <c r="F1072" s="6"/>
      <c r="G1072" s="4"/>
      <c r="H1072" s="4"/>
      <c r="I1072" s="4" t="str">
        <f t="shared" si="67"/>
        <v/>
      </c>
      <c r="BN1072" s="7"/>
      <c r="BQ1072" s="7"/>
    </row>
    <row r="1073" spans="1:69" ht="15" customHeight="1" x14ac:dyDescent="0.3">
      <c r="A1073" s="5"/>
      <c r="B1073" s="5"/>
      <c r="C1073" s="5"/>
      <c r="D1073" s="5"/>
      <c r="F1073" s="6"/>
      <c r="G1073" s="4"/>
      <c r="H1073" s="4"/>
      <c r="I1073" s="4" t="str">
        <f t="shared" si="67"/>
        <v/>
      </c>
      <c r="BN1073" s="7"/>
      <c r="BQ1073" s="7"/>
    </row>
    <row r="1074" spans="1:69" ht="15" customHeight="1" x14ac:dyDescent="0.3">
      <c r="A1074" s="5"/>
      <c r="B1074" s="5"/>
      <c r="C1074" s="5"/>
      <c r="D1074" s="5"/>
      <c r="F1074" s="6"/>
      <c r="G1074" s="4"/>
      <c r="H1074" s="4"/>
      <c r="I1074" s="4" t="str">
        <f t="shared" si="67"/>
        <v/>
      </c>
      <c r="BN1074" s="7"/>
      <c r="BQ1074" s="7"/>
    </row>
    <row r="1075" spans="1:69" ht="15" customHeight="1" x14ac:dyDescent="0.3">
      <c r="A1075" s="5"/>
      <c r="B1075" s="5"/>
      <c r="C1075" s="5"/>
      <c r="D1075" s="5"/>
      <c r="F1075" s="6"/>
      <c r="G1075" s="4"/>
      <c r="H1075" s="4"/>
      <c r="I1075" s="4" t="str">
        <f t="shared" si="67"/>
        <v/>
      </c>
      <c r="BN1075" s="7"/>
      <c r="BQ1075" s="7"/>
    </row>
    <row r="1076" spans="1:69" ht="15" customHeight="1" x14ac:dyDescent="0.3">
      <c r="A1076" s="5"/>
      <c r="B1076" s="5"/>
      <c r="C1076" s="5"/>
      <c r="D1076" s="5"/>
      <c r="F1076" s="6"/>
      <c r="G1076" s="4"/>
      <c r="H1076" s="4"/>
      <c r="I1076" s="4" t="str">
        <f t="shared" si="67"/>
        <v/>
      </c>
      <c r="BN1076" s="7"/>
      <c r="BQ1076" s="7"/>
    </row>
    <row r="1077" spans="1:69" ht="15" customHeight="1" x14ac:dyDescent="0.3">
      <c r="A1077" s="5"/>
      <c r="B1077" s="5"/>
      <c r="C1077" s="5"/>
      <c r="D1077" s="5"/>
      <c r="F1077" s="6"/>
      <c r="G1077" s="4"/>
      <c r="H1077" s="4"/>
      <c r="I1077" s="4" t="str">
        <f t="shared" si="67"/>
        <v/>
      </c>
      <c r="BN1077" s="7"/>
      <c r="BQ1077" s="7"/>
    </row>
    <row r="1078" spans="1:69" ht="15" customHeight="1" x14ac:dyDescent="0.3">
      <c r="A1078" s="5"/>
      <c r="B1078" s="5"/>
      <c r="C1078" s="5"/>
      <c r="D1078" s="5"/>
      <c r="F1078" s="6"/>
      <c r="G1078" s="4"/>
      <c r="H1078" s="4"/>
      <c r="I1078" s="4" t="str">
        <f t="shared" si="67"/>
        <v/>
      </c>
      <c r="BN1078" s="7"/>
      <c r="BQ1078" s="7"/>
    </row>
    <row r="1079" spans="1:69" ht="15" customHeight="1" x14ac:dyDescent="0.3">
      <c r="A1079" s="5"/>
      <c r="B1079" s="5"/>
      <c r="C1079" s="5"/>
      <c r="D1079" s="5"/>
      <c r="F1079" s="6"/>
      <c r="G1079" s="4"/>
      <c r="H1079" s="4"/>
      <c r="I1079" s="4" t="str">
        <f t="shared" si="67"/>
        <v/>
      </c>
      <c r="BN1079" s="7"/>
      <c r="BQ1079" s="7"/>
    </row>
    <row r="1080" spans="1:69" ht="15" customHeight="1" x14ac:dyDescent="0.3">
      <c r="A1080" s="5"/>
      <c r="B1080" s="5"/>
      <c r="C1080" s="5"/>
      <c r="D1080" s="5"/>
      <c r="F1080" s="6"/>
      <c r="G1080" s="4"/>
      <c r="H1080" s="4"/>
      <c r="I1080" s="4" t="str">
        <f t="shared" si="67"/>
        <v/>
      </c>
      <c r="BN1080" s="7"/>
      <c r="BQ1080" s="7"/>
    </row>
    <row r="1081" spans="1:69" ht="15" customHeight="1" x14ac:dyDescent="0.3">
      <c r="A1081" s="5"/>
      <c r="B1081" s="5"/>
      <c r="C1081" s="5"/>
      <c r="D1081" s="5"/>
      <c r="F1081" s="6"/>
      <c r="G1081" s="4"/>
      <c r="H1081" s="4"/>
      <c r="I1081" s="4" t="str">
        <f t="shared" si="67"/>
        <v/>
      </c>
      <c r="BN1081" s="7"/>
      <c r="BQ1081" s="7"/>
    </row>
    <row r="1082" spans="1:69" ht="15" customHeight="1" x14ac:dyDescent="0.3">
      <c r="A1082" s="5"/>
      <c r="B1082" s="5"/>
      <c r="C1082" s="5"/>
      <c r="D1082" s="5"/>
      <c r="F1082" s="6"/>
      <c r="G1082" s="4"/>
      <c r="H1082" s="4"/>
      <c r="I1082" s="4" t="str">
        <f t="shared" si="67"/>
        <v/>
      </c>
      <c r="BN1082" s="7"/>
      <c r="BQ1082" s="7"/>
    </row>
    <row r="1083" spans="1:69" ht="15" customHeight="1" x14ac:dyDescent="0.3">
      <c r="A1083" s="5"/>
      <c r="B1083" s="5"/>
      <c r="C1083" s="5"/>
      <c r="D1083" s="5"/>
      <c r="F1083" s="6"/>
      <c r="G1083" s="4"/>
      <c r="H1083" s="4"/>
      <c r="I1083" s="4" t="str">
        <f t="shared" si="67"/>
        <v/>
      </c>
      <c r="BN1083" s="7"/>
      <c r="BQ1083" s="7"/>
    </row>
    <row r="1084" spans="1:69" ht="15" customHeight="1" x14ac:dyDescent="0.3">
      <c r="A1084" s="5"/>
      <c r="B1084" s="5"/>
      <c r="C1084" s="5"/>
      <c r="D1084" s="5"/>
      <c r="F1084" s="6"/>
      <c r="G1084" s="4"/>
      <c r="H1084" s="4"/>
      <c r="I1084" s="4" t="str">
        <f t="shared" si="67"/>
        <v/>
      </c>
      <c r="BN1084" s="7"/>
      <c r="BQ1084" s="7"/>
    </row>
    <row r="1085" spans="1:69" ht="15" customHeight="1" x14ac:dyDescent="0.3">
      <c r="A1085" s="5"/>
      <c r="B1085" s="5"/>
      <c r="C1085" s="5"/>
      <c r="D1085" s="5"/>
      <c r="F1085" s="6"/>
      <c r="G1085" s="4"/>
      <c r="H1085" s="4"/>
      <c r="I1085" s="4" t="str">
        <f t="shared" si="67"/>
        <v/>
      </c>
      <c r="BN1085" s="7"/>
      <c r="BQ1085" s="7"/>
    </row>
    <row r="1086" spans="1:69" ht="15" customHeight="1" x14ac:dyDescent="0.3">
      <c r="A1086" s="5"/>
      <c r="B1086" s="5"/>
      <c r="C1086" s="5"/>
      <c r="D1086" s="5"/>
      <c r="F1086" s="6"/>
      <c r="G1086" s="4"/>
      <c r="H1086" s="4"/>
      <c r="I1086" s="4" t="str">
        <f t="shared" si="67"/>
        <v/>
      </c>
      <c r="BN1086" s="7"/>
      <c r="BQ1086" s="7"/>
    </row>
    <row r="1087" spans="1:69" ht="15" customHeight="1" x14ac:dyDescent="0.3">
      <c r="A1087" s="5"/>
      <c r="B1087" s="5"/>
      <c r="C1087" s="5"/>
      <c r="D1087" s="5"/>
      <c r="F1087" s="6"/>
      <c r="G1087" s="4"/>
      <c r="H1087" s="4"/>
      <c r="I1087" s="4" t="str">
        <f t="shared" si="67"/>
        <v/>
      </c>
      <c r="BN1087" s="7"/>
      <c r="BQ1087" s="7"/>
    </row>
    <row r="1088" spans="1:69" ht="15" customHeight="1" x14ac:dyDescent="0.3">
      <c r="A1088" s="5"/>
      <c r="B1088" s="5"/>
      <c r="C1088" s="5"/>
      <c r="D1088" s="5"/>
      <c r="F1088" s="6"/>
      <c r="G1088" s="4"/>
      <c r="H1088" s="4"/>
      <c r="I1088" s="4" t="str">
        <f t="shared" si="67"/>
        <v/>
      </c>
      <c r="BN1088" s="7"/>
      <c r="BQ1088" s="7"/>
    </row>
    <row r="1089" spans="1:69" ht="15" customHeight="1" x14ac:dyDescent="0.3">
      <c r="A1089" s="5"/>
      <c r="B1089" s="5"/>
      <c r="C1089" s="5"/>
      <c r="D1089" s="5"/>
      <c r="F1089" s="6"/>
      <c r="G1089" s="4"/>
      <c r="H1089" s="4"/>
      <c r="I1089" s="4" t="str">
        <f t="shared" si="67"/>
        <v/>
      </c>
      <c r="BN1089" s="7"/>
      <c r="BQ1089" s="7"/>
    </row>
    <row r="1090" spans="1:69" ht="15" customHeight="1" x14ac:dyDescent="0.3">
      <c r="A1090" s="5"/>
      <c r="B1090" s="5"/>
      <c r="C1090" s="5"/>
      <c r="D1090" s="5"/>
      <c r="F1090" s="6"/>
      <c r="G1090" s="4"/>
      <c r="H1090" s="4"/>
      <c r="I1090" s="4" t="str">
        <f t="shared" si="67"/>
        <v/>
      </c>
      <c r="BN1090" s="7"/>
      <c r="BQ1090" s="7"/>
    </row>
    <row r="1091" spans="1:69" ht="15" customHeight="1" x14ac:dyDescent="0.3">
      <c r="A1091" s="5"/>
      <c r="B1091" s="5"/>
      <c r="C1091" s="5"/>
      <c r="D1091" s="5"/>
      <c r="F1091" s="6"/>
      <c r="G1091" s="4"/>
      <c r="H1091" s="4"/>
      <c r="I1091" s="4" t="str">
        <f t="shared" ref="I1091:I1154" si="68">IFERROR(MID(A1091,FIND("Sorry, the entered Application Number",A1091),68),"")</f>
        <v/>
      </c>
      <c r="BN1091" s="7"/>
      <c r="BQ1091" s="7"/>
    </row>
    <row r="1092" spans="1:69" ht="15" customHeight="1" x14ac:dyDescent="0.3">
      <c r="A1092" s="5"/>
      <c r="B1092" s="5"/>
      <c r="C1092" s="5"/>
      <c r="D1092" s="5"/>
      <c r="F1092" s="6"/>
      <c r="G1092" s="4"/>
      <c r="H1092" s="4"/>
      <c r="I1092" s="4" t="str">
        <f t="shared" si="68"/>
        <v/>
      </c>
      <c r="BN1092" s="7"/>
      <c r="BQ1092" s="7"/>
    </row>
    <row r="1093" spans="1:69" ht="15" customHeight="1" x14ac:dyDescent="0.3">
      <c r="A1093" s="5"/>
      <c r="B1093" s="5"/>
      <c r="C1093" s="5"/>
      <c r="D1093" s="5"/>
      <c r="F1093" s="6"/>
      <c r="G1093" s="4"/>
      <c r="H1093" s="4"/>
      <c r="I1093" s="4" t="str">
        <f t="shared" si="68"/>
        <v/>
      </c>
      <c r="BN1093" s="7"/>
      <c r="BQ1093" s="7"/>
    </row>
    <row r="1094" spans="1:69" ht="15" customHeight="1" x14ac:dyDescent="0.3">
      <c r="A1094" s="5"/>
      <c r="B1094" s="5"/>
      <c r="C1094" s="5"/>
      <c r="D1094" s="5"/>
      <c r="F1094" s="6"/>
      <c r="G1094" s="4"/>
      <c r="H1094" s="4"/>
      <c r="I1094" s="4" t="str">
        <f t="shared" si="68"/>
        <v/>
      </c>
      <c r="BN1094" s="7"/>
      <c r="BQ1094" s="7"/>
    </row>
    <row r="1095" spans="1:69" ht="15" customHeight="1" x14ac:dyDescent="0.3">
      <c r="A1095" s="5"/>
      <c r="B1095" s="5"/>
      <c r="C1095" s="5"/>
      <c r="D1095" s="5"/>
      <c r="F1095" s="6"/>
      <c r="G1095" s="4"/>
      <c r="H1095" s="4"/>
      <c r="I1095" s="4" t="str">
        <f t="shared" si="68"/>
        <v/>
      </c>
      <c r="BN1095" s="7"/>
      <c r="BQ1095" s="7"/>
    </row>
    <row r="1096" spans="1:69" ht="15" customHeight="1" x14ac:dyDescent="0.3">
      <c r="A1096" s="5"/>
      <c r="B1096" s="5"/>
      <c r="C1096" s="5"/>
      <c r="D1096" s="5"/>
      <c r="F1096" s="6"/>
      <c r="G1096" s="4"/>
      <c r="H1096" s="4"/>
      <c r="I1096" s="4" t="str">
        <f t="shared" si="68"/>
        <v/>
      </c>
      <c r="BN1096" s="7"/>
      <c r="BQ1096" s="7"/>
    </row>
    <row r="1097" spans="1:69" ht="15" customHeight="1" x14ac:dyDescent="0.3">
      <c r="A1097" s="5"/>
      <c r="B1097" s="5"/>
      <c r="C1097" s="5"/>
      <c r="D1097" s="5"/>
      <c r="F1097" s="6"/>
      <c r="G1097" s="4"/>
      <c r="H1097" s="4"/>
      <c r="I1097" s="4" t="str">
        <f t="shared" si="68"/>
        <v/>
      </c>
      <c r="BN1097" s="7"/>
      <c r="BQ1097" s="7"/>
    </row>
    <row r="1098" spans="1:69" ht="15" customHeight="1" x14ac:dyDescent="0.3">
      <c r="A1098" s="5"/>
      <c r="B1098" s="5"/>
      <c r="C1098" s="5"/>
      <c r="D1098" s="5"/>
      <c r="F1098" s="6"/>
      <c r="G1098" s="4"/>
      <c r="H1098" s="4"/>
      <c r="I1098" s="4" t="str">
        <f t="shared" si="68"/>
        <v/>
      </c>
      <c r="BN1098" s="7"/>
      <c r="BQ1098" s="7"/>
    </row>
    <row r="1099" spans="1:69" ht="15" customHeight="1" x14ac:dyDescent="0.3">
      <c r="A1099" s="5"/>
      <c r="B1099" s="5"/>
      <c r="C1099" s="5"/>
      <c r="D1099" s="5"/>
      <c r="F1099" s="6"/>
      <c r="G1099" s="4"/>
      <c r="H1099" s="4"/>
      <c r="I1099" s="4" t="str">
        <f t="shared" si="68"/>
        <v/>
      </c>
      <c r="BN1099" s="7"/>
      <c r="BQ1099" s="7"/>
    </row>
    <row r="1100" spans="1:69" ht="15" customHeight="1" x14ac:dyDescent="0.3">
      <c r="A1100" s="5"/>
      <c r="B1100" s="5"/>
      <c r="C1100" s="5"/>
      <c r="D1100" s="5"/>
      <c r="F1100" s="6"/>
      <c r="G1100" s="4"/>
      <c r="H1100" s="4"/>
      <c r="I1100" s="4" t="str">
        <f t="shared" si="68"/>
        <v/>
      </c>
      <c r="BN1100" s="7"/>
      <c r="BQ1100" s="7"/>
    </row>
    <row r="1101" spans="1:69" ht="15" customHeight="1" x14ac:dyDescent="0.3">
      <c r="A1101" s="5"/>
      <c r="B1101" s="5"/>
      <c r="C1101" s="5"/>
      <c r="D1101" s="5"/>
      <c r="F1101" s="6"/>
      <c r="G1101" s="4"/>
      <c r="H1101" s="4"/>
      <c r="I1101" s="4" t="str">
        <f t="shared" si="68"/>
        <v/>
      </c>
      <c r="BN1101" s="7"/>
      <c r="BQ1101" s="7"/>
    </row>
    <row r="1102" spans="1:69" ht="15" customHeight="1" x14ac:dyDescent="0.3">
      <c r="A1102" s="5"/>
      <c r="B1102" s="5"/>
      <c r="C1102" s="5"/>
      <c r="D1102" s="5"/>
      <c r="F1102" s="6"/>
      <c r="G1102" s="4"/>
      <c r="H1102" s="4"/>
      <c r="I1102" s="4" t="str">
        <f t="shared" si="68"/>
        <v/>
      </c>
      <c r="BN1102" s="7"/>
      <c r="BQ1102" s="7"/>
    </row>
    <row r="1103" spans="1:69" ht="15" customHeight="1" x14ac:dyDescent="0.3">
      <c r="A1103" s="5"/>
      <c r="B1103" s="5"/>
      <c r="C1103" s="5"/>
      <c r="D1103" s="5"/>
      <c r="F1103" s="6"/>
      <c r="G1103" s="4"/>
      <c r="H1103" s="4"/>
      <c r="I1103" s="4" t="str">
        <f t="shared" si="68"/>
        <v/>
      </c>
      <c r="BN1103" s="7"/>
      <c r="BQ1103" s="7"/>
    </row>
    <row r="1104" spans="1:69" ht="15" customHeight="1" x14ac:dyDescent="0.3">
      <c r="A1104" s="5"/>
      <c r="B1104" s="5"/>
      <c r="C1104" s="5"/>
      <c r="D1104" s="5"/>
      <c r="F1104" s="6"/>
      <c r="G1104" s="4"/>
      <c r="H1104" s="4"/>
      <c r="I1104" s="4" t="str">
        <f t="shared" si="68"/>
        <v/>
      </c>
      <c r="BN1104" s="7"/>
      <c r="BQ1104" s="7"/>
    </row>
    <row r="1105" spans="1:69" ht="15" customHeight="1" x14ac:dyDescent="0.3">
      <c r="A1105" s="5"/>
      <c r="B1105" s="5"/>
      <c r="C1105" s="5"/>
      <c r="D1105" s="5"/>
      <c r="F1105" s="6"/>
      <c r="G1105" s="4"/>
      <c r="H1105" s="4"/>
      <c r="I1105" s="4" t="str">
        <f t="shared" si="68"/>
        <v/>
      </c>
      <c r="BN1105" s="7"/>
      <c r="BQ1105" s="7"/>
    </row>
    <row r="1106" spans="1:69" ht="15" customHeight="1" x14ac:dyDescent="0.3">
      <c r="A1106" s="5"/>
      <c r="B1106" s="5"/>
      <c r="C1106" s="5"/>
      <c r="D1106" s="5"/>
      <c r="F1106" s="6"/>
      <c r="G1106" s="4"/>
      <c r="H1106" s="4"/>
      <c r="I1106" s="4" t="str">
        <f t="shared" si="68"/>
        <v/>
      </c>
      <c r="BN1106" s="7"/>
      <c r="BQ1106" s="7"/>
    </row>
    <row r="1107" spans="1:69" ht="15" customHeight="1" x14ac:dyDescent="0.3">
      <c r="A1107" s="5"/>
      <c r="B1107" s="5"/>
      <c r="C1107" s="5"/>
      <c r="D1107" s="5"/>
      <c r="F1107" s="6"/>
      <c r="G1107" s="4"/>
      <c r="H1107" s="4"/>
      <c r="I1107" s="4" t="str">
        <f t="shared" si="68"/>
        <v/>
      </c>
      <c r="BN1107" s="7"/>
      <c r="BQ1107" s="7"/>
    </row>
    <row r="1108" spans="1:69" ht="15" customHeight="1" x14ac:dyDescent="0.3">
      <c r="A1108" s="5"/>
      <c r="B1108" s="5"/>
      <c r="C1108" s="5"/>
      <c r="D1108" s="5"/>
      <c r="F1108" s="6"/>
      <c r="G1108" s="4"/>
      <c r="H1108" s="4"/>
      <c r="I1108" s="4" t="str">
        <f t="shared" si="68"/>
        <v/>
      </c>
      <c r="BN1108" s="7"/>
      <c r="BQ1108" s="7"/>
    </row>
    <row r="1109" spans="1:69" ht="15" customHeight="1" x14ac:dyDescent="0.3">
      <c r="A1109" s="5"/>
      <c r="B1109" s="5"/>
      <c r="C1109" s="5"/>
      <c r="D1109" s="5"/>
      <c r="F1109" s="6"/>
      <c r="G1109" s="4"/>
      <c r="H1109" s="4"/>
      <c r="I1109" s="4" t="str">
        <f t="shared" si="68"/>
        <v/>
      </c>
      <c r="BN1109" s="7"/>
      <c r="BQ1109" s="7"/>
    </row>
    <row r="1110" spans="1:69" ht="15" customHeight="1" x14ac:dyDescent="0.3">
      <c r="A1110" s="5"/>
      <c r="B1110" s="5"/>
      <c r="C1110" s="5"/>
      <c r="D1110" s="5"/>
      <c r="F1110" s="6"/>
      <c r="G1110" s="4"/>
      <c r="H1110" s="4"/>
      <c r="I1110" s="4" t="str">
        <f t="shared" si="68"/>
        <v/>
      </c>
      <c r="BN1110" s="7"/>
      <c r="BQ1110" s="7"/>
    </row>
    <row r="1111" spans="1:69" ht="15" customHeight="1" x14ac:dyDescent="0.3">
      <c r="A1111" s="5"/>
      <c r="B1111" s="5"/>
      <c r="C1111" s="5"/>
      <c r="D1111" s="5"/>
      <c r="F1111" s="6"/>
      <c r="G1111" s="4"/>
      <c r="H1111" s="4"/>
      <c r="I1111" s="4" t="str">
        <f t="shared" si="68"/>
        <v/>
      </c>
      <c r="BN1111" s="7"/>
      <c r="BQ1111" s="7"/>
    </row>
    <row r="1112" spans="1:69" ht="15" customHeight="1" x14ac:dyDescent="0.3">
      <c r="A1112" s="5"/>
      <c r="B1112" s="5"/>
      <c r="C1112" s="5"/>
      <c r="D1112" s="5"/>
      <c r="F1112" s="6"/>
      <c r="G1112" s="4"/>
      <c r="H1112" s="4"/>
      <c r="I1112" s="4" t="str">
        <f t="shared" si="68"/>
        <v/>
      </c>
      <c r="BN1112" s="7"/>
      <c r="BQ1112" s="7"/>
    </row>
    <row r="1113" spans="1:69" ht="15" customHeight="1" x14ac:dyDescent="0.3">
      <c r="A1113" s="5"/>
      <c r="B1113" s="5"/>
      <c r="C1113" s="5"/>
      <c r="D1113" s="5"/>
      <c r="F1113" s="6"/>
      <c r="G1113" s="4"/>
      <c r="H1113" s="4"/>
      <c r="I1113" s="4" t="str">
        <f t="shared" si="68"/>
        <v/>
      </c>
      <c r="BN1113" s="7"/>
      <c r="BQ1113" s="7"/>
    </row>
    <row r="1114" spans="1:69" ht="15" customHeight="1" x14ac:dyDescent="0.3">
      <c r="A1114" s="5"/>
      <c r="B1114" s="5"/>
      <c r="C1114" s="5"/>
      <c r="D1114" s="5"/>
      <c r="F1114" s="6"/>
      <c r="G1114" s="4"/>
      <c r="H1114" s="4"/>
      <c r="I1114" s="4" t="str">
        <f t="shared" si="68"/>
        <v/>
      </c>
      <c r="BN1114" s="7"/>
      <c r="BQ1114" s="7"/>
    </row>
    <row r="1115" spans="1:69" ht="15" customHeight="1" x14ac:dyDescent="0.3">
      <c r="A1115" s="5"/>
      <c r="B1115" s="5"/>
      <c r="C1115" s="5"/>
      <c r="D1115" s="5"/>
      <c r="F1115" s="6"/>
      <c r="G1115" s="4"/>
      <c r="H1115" s="4"/>
      <c r="I1115" s="4" t="str">
        <f t="shared" si="68"/>
        <v/>
      </c>
      <c r="BN1115" s="7"/>
      <c r="BQ1115" s="7"/>
    </row>
    <row r="1116" spans="1:69" ht="15" customHeight="1" x14ac:dyDescent="0.3">
      <c r="A1116" s="5"/>
      <c r="B1116" s="5"/>
      <c r="C1116" s="5"/>
      <c r="D1116" s="5"/>
      <c r="F1116" s="6"/>
      <c r="G1116" s="4"/>
      <c r="H1116" s="4"/>
      <c r="I1116" s="4" t="str">
        <f t="shared" si="68"/>
        <v/>
      </c>
      <c r="BN1116" s="7"/>
      <c r="BQ1116" s="7"/>
    </row>
    <row r="1117" spans="1:69" ht="15" customHeight="1" x14ac:dyDescent="0.3">
      <c r="A1117" s="5"/>
      <c r="B1117" s="5"/>
      <c r="C1117" s="5"/>
      <c r="D1117" s="5"/>
      <c r="F1117" s="6"/>
      <c r="G1117" s="4"/>
      <c r="H1117" s="4"/>
      <c r="I1117" s="4" t="str">
        <f t="shared" si="68"/>
        <v/>
      </c>
      <c r="BN1117" s="7"/>
      <c r="BQ1117" s="7"/>
    </row>
    <row r="1118" spans="1:69" ht="15" customHeight="1" x14ac:dyDescent="0.3">
      <c r="A1118" s="5"/>
      <c r="B1118" s="5"/>
      <c r="C1118" s="5"/>
      <c r="D1118" s="5"/>
      <c r="F1118" s="6"/>
      <c r="G1118" s="4"/>
      <c r="H1118" s="4"/>
      <c r="I1118" s="4" t="str">
        <f t="shared" si="68"/>
        <v/>
      </c>
      <c r="BN1118" s="7"/>
      <c r="BQ1118" s="7"/>
    </row>
    <row r="1119" spans="1:69" ht="15" customHeight="1" x14ac:dyDescent="0.3">
      <c r="A1119" s="5"/>
      <c r="B1119" s="5"/>
      <c r="C1119" s="5"/>
      <c r="D1119" s="5"/>
      <c r="F1119" s="6"/>
      <c r="G1119" s="4"/>
      <c r="H1119" s="4"/>
      <c r="I1119" s="4" t="str">
        <f t="shared" si="68"/>
        <v/>
      </c>
      <c r="BN1119" s="7"/>
      <c r="BQ1119" s="7"/>
    </row>
    <row r="1120" spans="1:69" ht="15" customHeight="1" x14ac:dyDescent="0.3">
      <c r="A1120" s="5"/>
      <c r="B1120" s="5"/>
      <c r="C1120" s="5"/>
      <c r="D1120" s="5"/>
      <c r="F1120" s="6"/>
      <c r="G1120" s="4"/>
      <c r="H1120" s="4"/>
      <c r="I1120" s="4" t="str">
        <f t="shared" si="68"/>
        <v/>
      </c>
      <c r="BN1120" s="7"/>
      <c r="BQ1120" s="7"/>
    </row>
    <row r="1121" spans="1:69" ht="15" customHeight="1" x14ac:dyDescent="0.3">
      <c r="A1121" s="5"/>
      <c r="B1121" s="5"/>
      <c r="C1121" s="5"/>
      <c r="D1121" s="5"/>
      <c r="F1121" s="6"/>
      <c r="G1121" s="4"/>
      <c r="H1121" s="4"/>
      <c r="I1121" s="4" t="str">
        <f t="shared" si="68"/>
        <v/>
      </c>
      <c r="BN1121" s="7"/>
      <c r="BQ1121" s="7"/>
    </row>
    <row r="1122" spans="1:69" ht="15" customHeight="1" x14ac:dyDescent="0.3">
      <c r="A1122" s="5"/>
      <c r="B1122" s="5"/>
      <c r="C1122" s="5"/>
      <c r="D1122" s="5"/>
      <c r="F1122" s="6"/>
      <c r="G1122" s="4"/>
      <c r="H1122" s="4"/>
      <c r="I1122" s="4" t="str">
        <f t="shared" si="68"/>
        <v/>
      </c>
      <c r="BN1122" s="7"/>
      <c r="BQ1122" s="7"/>
    </row>
    <row r="1123" spans="1:69" ht="15" customHeight="1" x14ac:dyDescent="0.3">
      <c r="A1123" s="5"/>
      <c r="B1123" s="5"/>
      <c r="C1123" s="5"/>
      <c r="D1123" s="5"/>
      <c r="F1123" s="6"/>
      <c r="G1123" s="4"/>
      <c r="H1123" s="4"/>
      <c r="I1123" s="4" t="str">
        <f t="shared" si="68"/>
        <v/>
      </c>
      <c r="BN1123" s="7"/>
      <c r="BQ1123" s="7"/>
    </row>
    <row r="1124" spans="1:69" ht="15" customHeight="1" x14ac:dyDescent="0.3">
      <c r="A1124" s="5"/>
      <c r="B1124" s="5"/>
      <c r="C1124" s="5"/>
      <c r="D1124" s="5"/>
      <c r="F1124" s="6"/>
      <c r="G1124" s="4"/>
      <c r="H1124" s="4"/>
      <c r="I1124" s="4" t="str">
        <f t="shared" si="68"/>
        <v/>
      </c>
      <c r="BN1124" s="7"/>
      <c r="BQ1124" s="7"/>
    </row>
    <row r="1125" spans="1:69" ht="15" customHeight="1" x14ac:dyDescent="0.3">
      <c r="A1125" s="5"/>
      <c r="B1125" s="5"/>
      <c r="C1125" s="5"/>
      <c r="D1125" s="5"/>
      <c r="F1125" s="6"/>
      <c r="G1125" s="4"/>
      <c r="H1125" s="4"/>
      <c r="I1125" s="4" t="str">
        <f t="shared" si="68"/>
        <v/>
      </c>
      <c r="BN1125" s="7"/>
      <c r="BQ1125" s="7"/>
    </row>
    <row r="1126" spans="1:69" ht="15" customHeight="1" x14ac:dyDescent="0.3">
      <c r="A1126" s="5"/>
      <c r="B1126" s="5"/>
      <c r="C1126" s="5"/>
      <c r="D1126" s="5"/>
      <c r="F1126" s="6"/>
      <c r="G1126" s="4"/>
      <c r="H1126" s="4"/>
      <c r="I1126" s="4" t="str">
        <f t="shared" si="68"/>
        <v/>
      </c>
      <c r="BN1126" s="7"/>
      <c r="BQ1126" s="7"/>
    </row>
    <row r="1127" spans="1:69" ht="15" customHeight="1" x14ac:dyDescent="0.3">
      <c r="A1127" s="5"/>
      <c r="B1127" s="5"/>
      <c r="C1127" s="5"/>
      <c r="D1127" s="5"/>
      <c r="F1127" s="6"/>
      <c r="G1127" s="4"/>
      <c r="H1127" s="4"/>
      <c r="I1127" s="4" t="str">
        <f t="shared" si="68"/>
        <v/>
      </c>
      <c r="BN1127" s="7"/>
      <c r="BQ1127" s="7"/>
    </row>
    <row r="1128" spans="1:69" ht="15" customHeight="1" x14ac:dyDescent="0.3">
      <c r="A1128" s="5"/>
      <c r="B1128" s="5"/>
      <c r="C1128" s="5"/>
      <c r="D1128" s="5"/>
      <c r="F1128" s="6"/>
      <c r="G1128" s="4"/>
      <c r="H1128" s="4"/>
      <c r="I1128" s="4" t="str">
        <f t="shared" si="68"/>
        <v/>
      </c>
      <c r="BN1128" s="7"/>
      <c r="BQ1128" s="7"/>
    </row>
    <row r="1129" spans="1:69" ht="15" customHeight="1" x14ac:dyDescent="0.3">
      <c r="A1129" s="5"/>
      <c r="B1129" s="5"/>
      <c r="C1129" s="5"/>
      <c r="D1129" s="5"/>
      <c r="F1129" s="6"/>
      <c r="G1129" s="4"/>
      <c r="H1129" s="4"/>
      <c r="I1129" s="4" t="str">
        <f t="shared" si="68"/>
        <v/>
      </c>
      <c r="BN1129" s="7"/>
      <c r="BQ1129" s="7"/>
    </row>
    <row r="1130" spans="1:69" ht="15" customHeight="1" x14ac:dyDescent="0.3">
      <c r="A1130" s="5"/>
      <c r="B1130" s="5"/>
      <c r="C1130" s="5"/>
      <c r="D1130" s="5"/>
      <c r="F1130" s="6"/>
      <c r="G1130" s="4"/>
      <c r="H1130" s="4"/>
      <c r="I1130" s="4" t="str">
        <f t="shared" si="68"/>
        <v/>
      </c>
      <c r="BN1130" s="7"/>
      <c r="BQ1130" s="7"/>
    </row>
    <row r="1131" spans="1:69" ht="15" customHeight="1" x14ac:dyDescent="0.3">
      <c r="A1131" s="5"/>
      <c r="B1131" s="5"/>
      <c r="C1131" s="5"/>
      <c r="D1131" s="5"/>
      <c r="F1131" s="6"/>
      <c r="G1131" s="4"/>
      <c r="H1131" s="4"/>
      <c r="I1131" s="4" t="str">
        <f t="shared" si="68"/>
        <v/>
      </c>
      <c r="BN1131" s="7"/>
      <c r="BQ1131" s="7"/>
    </row>
    <row r="1132" spans="1:69" ht="15" customHeight="1" x14ac:dyDescent="0.3">
      <c r="A1132" s="5"/>
      <c r="B1132" s="5"/>
      <c r="C1132" s="5"/>
      <c r="D1132" s="5"/>
      <c r="F1132" s="6"/>
      <c r="G1132" s="4"/>
      <c r="H1132" s="4"/>
      <c r="I1132" s="4" t="str">
        <f t="shared" si="68"/>
        <v/>
      </c>
      <c r="BN1132" s="7"/>
      <c r="BQ1132" s="7"/>
    </row>
    <row r="1133" spans="1:69" ht="15" customHeight="1" x14ac:dyDescent="0.3">
      <c r="A1133" s="5"/>
      <c r="B1133" s="5"/>
      <c r="C1133" s="5"/>
      <c r="D1133" s="5"/>
      <c r="F1133" s="6"/>
      <c r="G1133" s="4"/>
      <c r="H1133" s="4"/>
      <c r="I1133" s="4" t="str">
        <f t="shared" si="68"/>
        <v/>
      </c>
      <c r="BN1133" s="7"/>
      <c r="BQ1133" s="7"/>
    </row>
    <row r="1134" spans="1:69" ht="15" customHeight="1" x14ac:dyDescent="0.3">
      <c r="A1134" s="5"/>
      <c r="B1134" s="5"/>
      <c r="C1134" s="5"/>
      <c r="D1134" s="5"/>
      <c r="F1134" s="6"/>
      <c r="G1134" s="4"/>
      <c r="H1134" s="4"/>
      <c r="I1134" s="4" t="str">
        <f t="shared" si="68"/>
        <v/>
      </c>
      <c r="BN1134" s="7"/>
      <c r="BQ1134" s="7"/>
    </row>
    <row r="1135" spans="1:69" ht="15" customHeight="1" x14ac:dyDescent="0.3">
      <c r="A1135" s="5"/>
      <c r="B1135" s="5"/>
      <c r="C1135" s="5"/>
      <c r="D1135" s="5"/>
      <c r="F1135" s="6"/>
      <c r="G1135" s="4"/>
      <c r="H1135" s="4"/>
      <c r="I1135" s="4" t="str">
        <f t="shared" si="68"/>
        <v/>
      </c>
      <c r="BN1135" s="7"/>
      <c r="BQ1135" s="7"/>
    </row>
    <row r="1136" spans="1:69" ht="15" customHeight="1" x14ac:dyDescent="0.3">
      <c r="A1136" s="5"/>
      <c r="B1136" s="5"/>
      <c r="C1136" s="5"/>
      <c r="D1136" s="5"/>
      <c r="F1136" s="6"/>
      <c r="G1136" s="4"/>
      <c r="H1136" s="4"/>
      <c r="I1136" s="4" t="str">
        <f t="shared" si="68"/>
        <v/>
      </c>
      <c r="BN1136" s="7"/>
      <c r="BQ1136" s="7"/>
    </row>
    <row r="1137" spans="1:69" ht="15" customHeight="1" x14ac:dyDescent="0.3">
      <c r="A1137" s="5"/>
      <c r="B1137" s="5"/>
      <c r="C1137" s="5"/>
      <c r="D1137" s="5"/>
      <c r="F1137" s="6"/>
      <c r="G1137" s="4"/>
      <c r="H1137" s="4"/>
      <c r="I1137" s="4" t="str">
        <f t="shared" si="68"/>
        <v/>
      </c>
      <c r="BN1137" s="7"/>
      <c r="BQ1137" s="7"/>
    </row>
    <row r="1138" spans="1:69" ht="15" customHeight="1" x14ac:dyDescent="0.3">
      <c r="A1138" s="5"/>
      <c r="B1138" s="5"/>
      <c r="C1138" s="5"/>
      <c r="D1138" s="5"/>
      <c r="F1138" s="6"/>
      <c r="G1138" s="4"/>
      <c r="H1138" s="4"/>
      <c r="I1138" s="4" t="str">
        <f t="shared" si="68"/>
        <v/>
      </c>
      <c r="BN1138" s="7"/>
      <c r="BQ1138" s="7"/>
    </row>
    <row r="1139" spans="1:69" ht="15" customHeight="1" x14ac:dyDescent="0.3">
      <c r="A1139" s="5"/>
      <c r="B1139" s="5"/>
      <c r="C1139" s="5"/>
      <c r="D1139" s="5"/>
      <c r="F1139" s="6"/>
      <c r="G1139" s="4"/>
      <c r="H1139" s="4"/>
      <c r="I1139" s="4" t="str">
        <f t="shared" si="68"/>
        <v/>
      </c>
      <c r="BN1139" s="7"/>
      <c r="BQ1139" s="7"/>
    </row>
    <row r="1140" spans="1:69" ht="15" customHeight="1" x14ac:dyDescent="0.3">
      <c r="A1140" s="5"/>
      <c r="B1140" s="5"/>
      <c r="C1140" s="5"/>
      <c r="D1140" s="5"/>
      <c r="F1140" s="6"/>
      <c r="G1140" s="4"/>
      <c r="H1140" s="4"/>
      <c r="I1140" s="4" t="str">
        <f t="shared" si="68"/>
        <v/>
      </c>
      <c r="BN1140" s="7"/>
      <c r="BQ1140" s="7"/>
    </row>
    <row r="1141" spans="1:69" ht="15" customHeight="1" x14ac:dyDescent="0.3">
      <c r="A1141" s="5"/>
      <c r="B1141" s="5"/>
      <c r="C1141" s="5"/>
      <c r="D1141" s="5"/>
      <c r="F1141" s="6"/>
      <c r="G1141" s="4"/>
      <c r="H1141" s="4"/>
      <c r="I1141" s="4" t="str">
        <f t="shared" si="68"/>
        <v/>
      </c>
      <c r="BN1141" s="7"/>
      <c r="BQ1141" s="7"/>
    </row>
    <row r="1142" spans="1:69" ht="15" customHeight="1" x14ac:dyDescent="0.3">
      <c r="A1142" s="5"/>
      <c r="B1142" s="5"/>
      <c r="C1142" s="5"/>
      <c r="D1142" s="5"/>
      <c r="F1142" s="6"/>
      <c r="G1142" s="4"/>
      <c r="H1142" s="4"/>
      <c r="I1142" s="4" t="str">
        <f t="shared" si="68"/>
        <v/>
      </c>
      <c r="BN1142" s="7"/>
      <c r="BQ1142" s="7"/>
    </row>
    <row r="1143" spans="1:69" ht="15" customHeight="1" x14ac:dyDescent="0.3">
      <c r="A1143" s="5"/>
      <c r="B1143" s="5"/>
      <c r="C1143" s="5"/>
      <c r="D1143" s="5"/>
      <c r="F1143" s="6"/>
      <c r="G1143" s="4"/>
      <c r="H1143" s="4"/>
      <c r="I1143" s="4" t="str">
        <f t="shared" si="68"/>
        <v/>
      </c>
      <c r="BN1143" s="7"/>
      <c r="BQ1143" s="7"/>
    </row>
    <row r="1144" spans="1:69" ht="15" customHeight="1" x14ac:dyDescent="0.3">
      <c r="A1144" s="5"/>
      <c r="B1144" s="5"/>
      <c r="C1144" s="5"/>
      <c r="D1144" s="5"/>
      <c r="F1144" s="6"/>
      <c r="G1144" s="4"/>
      <c r="H1144" s="4"/>
      <c r="I1144" s="4" t="str">
        <f t="shared" si="68"/>
        <v/>
      </c>
      <c r="BN1144" s="7"/>
      <c r="BQ1144" s="7"/>
    </row>
    <row r="1145" spans="1:69" ht="15" customHeight="1" x14ac:dyDescent="0.3">
      <c r="A1145" s="5"/>
      <c r="B1145" s="5"/>
      <c r="C1145" s="5"/>
      <c r="D1145" s="5"/>
      <c r="F1145" s="6"/>
      <c r="G1145" s="4"/>
      <c r="H1145" s="4"/>
      <c r="I1145" s="4" t="str">
        <f t="shared" si="68"/>
        <v/>
      </c>
      <c r="BN1145" s="7"/>
      <c r="BQ1145" s="7"/>
    </row>
    <row r="1146" spans="1:69" ht="15" customHeight="1" x14ac:dyDescent="0.3">
      <c r="A1146" s="5"/>
      <c r="B1146" s="5"/>
      <c r="C1146" s="5"/>
      <c r="D1146" s="5"/>
      <c r="F1146" s="6"/>
      <c r="G1146" s="4"/>
      <c r="H1146" s="4"/>
      <c r="I1146" s="4" t="str">
        <f t="shared" si="68"/>
        <v/>
      </c>
      <c r="BN1146" s="7"/>
      <c r="BQ1146" s="7"/>
    </row>
    <row r="1147" spans="1:69" ht="15" customHeight="1" x14ac:dyDescent="0.3">
      <c r="A1147" s="5"/>
      <c r="B1147" s="5"/>
      <c r="C1147" s="5"/>
      <c r="D1147" s="5"/>
      <c r="F1147" s="6"/>
      <c r="G1147" s="4"/>
      <c r="H1147" s="4"/>
      <c r="I1147" s="4" t="str">
        <f t="shared" si="68"/>
        <v/>
      </c>
      <c r="BN1147" s="7"/>
      <c r="BQ1147" s="7"/>
    </row>
    <row r="1148" spans="1:69" ht="15" customHeight="1" x14ac:dyDescent="0.3">
      <c r="A1148" s="5"/>
      <c r="B1148" s="5"/>
      <c r="C1148" s="5"/>
      <c r="D1148" s="5"/>
      <c r="F1148" s="6"/>
      <c r="G1148" s="4"/>
      <c r="H1148" s="4"/>
      <c r="I1148" s="4" t="str">
        <f t="shared" si="68"/>
        <v/>
      </c>
      <c r="BN1148" s="7"/>
      <c r="BQ1148" s="7"/>
    </row>
    <row r="1149" spans="1:69" ht="15" customHeight="1" x14ac:dyDescent="0.3">
      <c r="A1149" s="5"/>
      <c r="B1149" s="5"/>
      <c r="C1149" s="5"/>
      <c r="D1149" s="5"/>
      <c r="F1149" s="6"/>
      <c r="G1149" s="4"/>
      <c r="H1149" s="4"/>
      <c r="I1149" s="4" t="str">
        <f t="shared" si="68"/>
        <v/>
      </c>
      <c r="BN1149" s="7"/>
      <c r="BQ1149" s="7"/>
    </row>
    <row r="1150" spans="1:69" ht="15" customHeight="1" x14ac:dyDescent="0.3">
      <c r="A1150" s="5"/>
      <c r="B1150" s="5"/>
      <c r="C1150" s="5"/>
      <c r="D1150" s="5"/>
      <c r="F1150" s="6"/>
      <c r="G1150" s="4"/>
      <c r="H1150" s="4"/>
      <c r="I1150" s="4" t="str">
        <f t="shared" si="68"/>
        <v/>
      </c>
      <c r="BN1150" s="7"/>
      <c r="BQ1150" s="7"/>
    </row>
    <row r="1151" spans="1:69" ht="15" customHeight="1" x14ac:dyDescent="0.3">
      <c r="A1151" s="5"/>
      <c r="B1151" s="5"/>
      <c r="C1151" s="5"/>
      <c r="D1151" s="5"/>
      <c r="F1151" s="6"/>
      <c r="G1151" s="4"/>
      <c r="H1151" s="4"/>
      <c r="I1151" s="4" t="str">
        <f t="shared" si="68"/>
        <v/>
      </c>
      <c r="BN1151" s="7"/>
      <c r="BQ1151" s="7"/>
    </row>
    <row r="1152" spans="1:69" ht="15" customHeight="1" x14ac:dyDescent="0.3">
      <c r="A1152" s="5"/>
      <c r="B1152" s="5"/>
      <c r="C1152" s="5"/>
      <c r="D1152" s="5"/>
      <c r="F1152" s="6"/>
      <c r="G1152" s="4"/>
      <c r="H1152" s="4"/>
      <c r="I1152" s="4" t="str">
        <f t="shared" si="68"/>
        <v/>
      </c>
      <c r="BN1152" s="7"/>
      <c r="BQ1152" s="7"/>
    </row>
    <row r="1153" spans="1:69" ht="15" customHeight="1" x14ac:dyDescent="0.3">
      <c r="A1153" s="5"/>
      <c r="B1153" s="5"/>
      <c r="C1153" s="5"/>
      <c r="D1153" s="5"/>
      <c r="F1153" s="6"/>
      <c r="G1153" s="4"/>
      <c r="H1153" s="4"/>
      <c r="I1153" s="4" t="str">
        <f t="shared" si="68"/>
        <v/>
      </c>
      <c r="BN1153" s="7"/>
      <c r="BQ1153" s="7"/>
    </row>
    <row r="1154" spans="1:69" ht="15" customHeight="1" x14ac:dyDescent="0.3">
      <c r="A1154" s="5"/>
      <c r="B1154" s="5"/>
      <c r="C1154" s="5"/>
      <c r="D1154" s="5"/>
      <c r="F1154" s="6"/>
      <c r="G1154" s="4"/>
      <c r="H1154" s="4"/>
      <c r="I1154" s="4" t="str">
        <f t="shared" si="68"/>
        <v/>
      </c>
      <c r="BN1154" s="7"/>
      <c r="BQ1154" s="7"/>
    </row>
    <row r="1155" spans="1:69" ht="15" customHeight="1" x14ac:dyDescent="0.3">
      <c r="A1155" s="5"/>
      <c r="B1155" s="5"/>
      <c r="C1155" s="5"/>
      <c r="D1155" s="5"/>
      <c r="F1155" s="6"/>
      <c r="G1155" s="4"/>
      <c r="H1155" s="4"/>
      <c r="I1155" s="4" t="str">
        <f t="shared" ref="I1155:I1218" si="69">IFERROR(MID(A1155,FIND("Sorry, the entered Application Number",A1155),68),"")</f>
        <v/>
      </c>
      <c r="BN1155" s="7"/>
      <c r="BQ1155" s="7"/>
    </row>
    <row r="1156" spans="1:69" ht="15" customHeight="1" x14ac:dyDescent="0.3">
      <c r="A1156" s="5"/>
      <c r="B1156" s="5"/>
      <c r="C1156" s="5"/>
      <c r="D1156" s="5"/>
      <c r="F1156" s="6"/>
      <c r="G1156" s="4"/>
      <c r="H1156" s="4"/>
      <c r="I1156" s="4" t="str">
        <f t="shared" si="69"/>
        <v/>
      </c>
      <c r="BN1156" s="7"/>
      <c r="BQ1156" s="7"/>
    </row>
    <row r="1157" spans="1:69" ht="15" customHeight="1" x14ac:dyDescent="0.3">
      <c r="A1157" s="5"/>
      <c r="B1157" s="5"/>
      <c r="C1157" s="5"/>
      <c r="D1157" s="5"/>
      <c r="F1157" s="6"/>
      <c r="G1157" s="4"/>
      <c r="H1157" s="4"/>
      <c r="I1157" s="4" t="str">
        <f t="shared" si="69"/>
        <v/>
      </c>
      <c r="BN1157" s="7"/>
      <c r="BQ1157" s="7"/>
    </row>
    <row r="1158" spans="1:69" ht="15" customHeight="1" x14ac:dyDescent="0.3">
      <c r="A1158" s="5"/>
      <c r="B1158" s="5"/>
      <c r="C1158" s="5"/>
      <c r="D1158" s="5"/>
      <c r="F1158" s="6"/>
      <c r="G1158" s="4"/>
      <c r="H1158" s="4"/>
      <c r="I1158" s="4" t="str">
        <f t="shared" si="69"/>
        <v/>
      </c>
      <c r="BN1158" s="7"/>
      <c r="BQ1158" s="7"/>
    </row>
    <row r="1159" spans="1:69" ht="15" customHeight="1" x14ac:dyDescent="0.3">
      <c r="A1159" s="5"/>
      <c r="B1159" s="5"/>
      <c r="C1159" s="5"/>
      <c r="D1159" s="5"/>
      <c r="F1159" s="6"/>
      <c r="G1159" s="4"/>
      <c r="H1159" s="4"/>
      <c r="I1159" s="4" t="str">
        <f t="shared" si="69"/>
        <v/>
      </c>
      <c r="BN1159" s="7"/>
      <c r="BQ1159" s="7"/>
    </row>
    <row r="1160" spans="1:69" ht="15" customHeight="1" x14ac:dyDescent="0.3">
      <c r="A1160" s="5"/>
      <c r="B1160" s="5"/>
      <c r="C1160" s="5"/>
      <c r="D1160" s="5"/>
      <c r="F1160" s="6"/>
      <c r="G1160" s="4"/>
      <c r="H1160" s="4"/>
      <c r="I1160" s="4" t="str">
        <f t="shared" si="69"/>
        <v/>
      </c>
      <c r="BN1160" s="7"/>
      <c r="BQ1160" s="7"/>
    </row>
    <row r="1161" spans="1:69" ht="15" customHeight="1" x14ac:dyDescent="0.3">
      <c r="A1161" s="5"/>
      <c r="B1161" s="5"/>
      <c r="C1161" s="5"/>
      <c r="D1161" s="5"/>
      <c r="F1161" s="6"/>
      <c r="G1161" s="4"/>
      <c r="H1161" s="4"/>
      <c r="I1161" s="4" t="str">
        <f t="shared" si="69"/>
        <v/>
      </c>
      <c r="BN1161" s="7"/>
      <c r="BQ1161" s="7"/>
    </row>
    <row r="1162" spans="1:69" ht="15" customHeight="1" x14ac:dyDescent="0.3">
      <c r="A1162" s="5"/>
      <c r="B1162" s="5"/>
      <c r="C1162" s="5"/>
      <c r="D1162" s="5"/>
      <c r="F1162" s="6"/>
      <c r="G1162" s="4"/>
      <c r="H1162" s="4"/>
      <c r="I1162" s="4" t="str">
        <f t="shared" si="69"/>
        <v/>
      </c>
      <c r="BN1162" s="7"/>
      <c r="BQ1162" s="7"/>
    </row>
    <row r="1163" spans="1:69" ht="15" customHeight="1" x14ac:dyDescent="0.3">
      <c r="A1163" s="5"/>
      <c r="B1163" s="5"/>
      <c r="C1163" s="5"/>
      <c r="D1163" s="5"/>
      <c r="F1163" s="6"/>
      <c r="G1163" s="4"/>
      <c r="H1163" s="4"/>
      <c r="I1163" s="4" t="str">
        <f t="shared" si="69"/>
        <v/>
      </c>
      <c r="BN1163" s="7"/>
      <c r="BQ1163" s="7"/>
    </row>
    <row r="1164" spans="1:69" ht="15" customHeight="1" x14ac:dyDescent="0.3">
      <c r="A1164" s="5"/>
      <c r="B1164" s="5"/>
      <c r="C1164" s="5"/>
      <c r="D1164" s="5"/>
      <c r="F1164" s="6"/>
      <c r="G1164" s="4"/>
      <c r="H1164" s="4"/>
      <c r="I1164" s="4" t="str">
        <f t="shared" si="69"/>
        <v/>
      </c>
      <c r="BN1164" s="7"/>
      <c r="BQ1164" s="7"/>
    </row>
    <row r="1165" spans="1:69" ht="15" customHeight="1" x14ac:dyDescent="0.3">
      <c r="A1165" s="5"/>
      <c r="B1165" s="5"/>
      <c r="C1165" s="5"/>
      <c r="D1165" s="5"/>
      <c r="F1165" s="6"/>
      <c r="G1165" s="4"/>
      <c r="H1165" s="4"/>
      <c r="I1165" s="4" t="str">
        <f t="shared" si="69"/>
        <v/>
      </c>
      <c r="BN1165" s="7"/>
      <c r="BQ1165" s="7"/>
    </row>
    <row r="1166" spans="1:69" ht="15" customHeight="1" x14ac:dyDescent="0.3">
      <c r="A1166" s="5"/>
      <c r="B1166" s="5"/>
      <c r="C1166" s="5"/>
      <c r="D1166" s="5"/>
      <c r="F1166" s="6"/>
      <c r="G1166" s="4"/>
      <c r="H1166" s="4"/>
      <c r="I1166" s="4" t="str">
        <f t="shared" si="69"/>
        <v/>
      </c>
      <c r="BN1166" s="7"/>
      <c r="BQ1166" s="7"/>
    </row>
    <row r="1167" spans="1:69" ht="15" customHeight="1" x14ac:dyDescent="0.3">
      <c r="A1167" s="5"/>
      <c r="B1167" s="5"/>
      <c r="C1167" s="5"/>
      <c r="D1167" s="5"/>
      <c r="F1167" s="6"/>
      <c r="G1167" s="4"/>
      <c r="H1167" s="4"/>
      <c r="I1167" s="4" t="str">
        <f t="shared" si="69"/>
        <v/>
      </c>
      <c r="BN1167" s="7"/>
      <c r="BQ1167" s="7"/>
    </row>
    <row r="1168" spans="1:69" ht="15" customHeight="1" x14ac:dyDescent="0.3">
      <c r="A1168" s="5"/>
      <c r="B1168" s="5"/>
      <c r="C1168" s="5"/>
      <c r="D1168" s="5"/>
      <c r="F1168" s="6"/>
      <c r="G1168" s="4"/>
      <c r="H1168" s="4"/>
      <c r="I1168" s="4" t="str">
        <f t="shared" si="69"/>
        <v/>
      </c>
      <c r="BN1168" s="7"/>
      <c r="BQ1168" s="7"/>
    </row>
    <row r="1169" spans="1:69" ht="15" customHeight="1" x14ac:dyDescent="0.3">
      <c r="A1169" s="5"/>
      <c r="B1169" s="5"/>
      <c r="C1169" s="5"/>
      <c r="D1169" s="5"/>
      <c r="F1169" s="6"/>
      <c r="G1169" s="4"/>
      <c r="H1169" s="4"/>
      <c r="I1169" s="4" t="str">
        <f t="shared" si="69"/>
        <v/>
      </c>
      <c r="BN1169" s="7"/>
      <c r="BQ1169" s="7"/>
    </row>
    <row r="1170" spans="1:69" ht="15" customHeight="1" x14ac:dyDescent="0.3">
      <c r="A1170" s="5"/>
      <c r="B1170" s="5"/>
      <c r="C1170" s="5"/>
      <c r="D1170" s="5"/>
      <c r="F1170" s="6"/>
      <c r="G1170" s="4"/>
      <c r="H1170" s="4"/>
      <c r="I1170" s="4" t="str">
        <f t="shared" si="69"/>
        <v/>
      </c>
      <c r="BN1170" s="7"/>
      <c r="BQ1170" s="7"/>
    </row>
    <row r="1171" spans="1:69" ht="15" customHeight="1" x14ac:dyDescent="0.3">
      <c r="A1171" s="5"/>
      <c r="B1171" s="5"/>
      <c r="C1171" s="5"/>
      <c r="D1171" s="5"/>
      <c r="F1171" s="6"/>
      <c r="G1171" s="4"/>
      <c r="H1171" s="4"/>
      <c r="I1171" s="4" t="str">
        <f t="shared" si="69"/>
        <v/>
      </c>
      <c r="BN1171" s="7"/>
      <c r="BQ1171" s="7"/>
    </row>
    <row r="1172" spans="1:69" ht="15" customHeight="1" x14ac:dyDescent="0.3">
      <c r="A1172" s="5"/>
      <c r="B1172" s="5"/>
      <c r="C1172" s="5"/>
      <c r="D1172" s="5"/>
      <c r="F1172" s="6"/>
      <c r="G1172" s="4"/>
      <c r="H1172" s="4"/>
      <c r="I1172" s="4" t="str">
        <f t="shared" si="69"/>
        <v/>
      </c>
      <c r="BN1172" s="7"/>
      <c r="BQ1172" s="7"/>
    </row>
    <row r="1173" spans="1:69" ht="15" customHeight="1" x14ac:dyDescent="0.3">
      <c r="A1173" s="5"/>
      <c r="B1173" s="5"/>
      <c r="C1173" s="5"/>
      <c r="D1173" s="5"/>
      <c r="F1173" s="6"/>
      <c r="G1173" s="4"/>
      <c r="H1173" s="4"/>
      <c r="I1173" s="4" t="str">
        <f t="shared" si="69"/>
        <v/>
      </c>
      <c r="BN1173" s="7"/>
      <c r="BQ1173" s="7"/>
    </row>
    <row r="1174" spans="1:69" ht="15" customHeight="1" x14ac:dyDescent="0.3">
      <c r="A1174" s="5"/>
      <c r="B1174" s="5"/>
      <c r="C1174" s="5"/>
      <c r="D1174" s="5"/>
      <c r="F1174" s="6"/>
      <c r="G1174" s="4"/>
      <c r="H1174" s="4"/>
      <c r="I1174" s="4" t="str">
        <f t="shared" si="69"/>
        <v/>
      </c>
      <c r="BN1174" s="7"/>
      <c r="BQ1174" s="7"/>
    </row>
    <row r="1175" spans="1:69" ht="15" customHeight="1" x14ac:dyDescent="0.3">
      <c r="A1175" s="5"/>
      <c r="B1175" s="5"/>
      <c r="C1175" s="5"/>
      <c r="D1175" s="5"/>
      <c r="F1175" s="6"/>
      <c r="G1175" s="4"/>
      <c r="H1175" s="4"/>
      <c r="I1175" s="4" t="str">
        <f t="shared" si="69"/>
        <v/>
      </c>
      <c r="BN1175" s="7"/>
      <c r="BQ1175" s="7"/>
    </row>
    <row r="1176" spans="1:69" ht="15" customHeight="1" x14ac:dyDescent="0.3">
      <c r="A1176" s="5"/>
      <c r="B1176" s="5"/>
      <c r="C1176" s="5"/>
      <c r="D1176" s="5"/>
      <c r="F1176" s="6"/>
      <c r="G1176" s="4"/>
      <c r="H1176" s="4"/>
      <c r="I1176" s="4" t="str">
        <f t="shared" si="69"/>
        <v/>
      </c>
      <c r="BN1176" s="7"/>
      <c r="BQ1176" s="7"/>
    </row>
    <row r="1177" spans="1:69" ht="15" customHeight="1" x14ac:dyDescent="0.3">
      <c r="A1177" s="5"/>
      <c r="B1177" s="5"/>
      <c r="C1177" s="5"/>
      <c r="D1177" s="5"/>
      <c r="F1177" s="6"/>
      <c r="G1177" s="4"/>
      <c r="H1177" s="4"/>
      <c r="I1177" s="4" t="str">
        <f t="shared" si="69"/>
        <v/>
      </c>
      <c r="BN1177" s="7"/>
      <c r="BQ1177" s="7"/>
    </row>
    <row r="1178" spans="1:69" ht="15" customHeight="1" x14ac:dyDescent="0.3">
      <c r="A1178" s="5"/>
      <c r="B1178" s="5"/>
      <c r="C1178" s="5"/>
      <c r="D1178" s="5"/>
      <c r="F1178" s="6"/>
      <c r="G1178" s="4"/>
      <c r="H1178" s="4"/>
      <c r="I1178" s="4" t="str">
        <f t="shared" si="69"/>
        <v/>
      </c>
      <c r="BN1178" s="7"/>
      <c r="BQ1178" s="7"/>
    </row>
    <row r="1179" spans="1:69" ht="15" customHeight="1" x14ac:dyDescent="0.3">
      <c r="A1179" s="5"/>
      <c r="B1179" s="5"/>
      <c r="C1179" s="5"/>
      <c r="D1179" s="5"/>
      <c r="F1179" s="6"/>
      <c r="G1179" s="4"/>
      <c r="H1179" s="4"/>
      <c r="I1179" s="4" t="str">
        <f t="shared" si="69"/>
        <v/>
      </c>
      <c r="BN1179" s="7"/>
      <c r="BQ1179" s="7"/>
    </row>
    <row r="1180" spans="1:69" ht="15" customHeight="1" x14ac:dyDescent="0.3">
      <c r="A1180" s="5"/>
      <c r="B1180" s="5"/>
      <c r="C1180" s="5"/>
      <c r="D1180" s="5"/>
      <c r="F1180" s="6"/>
      <c r="G1180" s="4"/>
      <c r="H1180" s="4"/>
      <c r="I1180" s="4" t="str">
        <f t="shared" si="69"/>
        <v/>
      </c>
      <c r="BN1180" s="7"/>
      <c r="BQ1180" s="7"/>
    </row>
    <row r="1181" spans="1:69" ht="15" customHeight="1" x14ac:dyDescent="0.3">
      <c r="A1181" s="5"/>
      <c r="B1181" s="5"/>
      <c r="C1181" s="5"/>
      <c r="D1181" s="5"/>
      <c r="F1181" s="6"/>
      <c r="G1181" s="4"/>
      <c r="H1181" s="4"/>
      <c r="I1181" s="4" t="str">
        <f t="shared" si="69"/>
        <v/>
      </c>
      <c r="BN1181" s="7"/>
      <c r="BQ1181" s="7"/>
    </row>
    <row r="1182" spans="1:69" ht="15" customHeight="1" x14ac:dyDescent="0.3">
      <c r="A1182" s="5"/>
      <c r="B1182" s="5"/>
      <c r="C1182" s="5"/>
      <c r="D1182" s="5"/>
      <c r="F1182" s="6"/>
      <c r="G1182" s="4"/>
      <c r="H1182" s="4"/>
      <c r="I1182" s="4" t="str">
        <f t="shared" si="69"/>
        <v/>
      </c>
      <c r="BN1182" s="7"/>
      <c r="BQ1182" s="7"/>
    </row>
    <row r="1183" spans="1:69" ht="15" customHeight="1" x14ac:dyDescent="0.3">
      <c r="A1183" s="5"/>
      <c r="B1183" s="5"/>
      <c r="C1183" s="5"/>
      <c r="D1183" s="5"/>
      <c r="F1183" s="6"/>
      <c r="G1183" s="4"/>
      <c r="H1183" s="4"/>
      <c r="I1183" s="4" t="str">
        <f t="shared" si="69"/>
        <v/>
      </c>
      <c r="BN1183" s="7"/>
      <c r="BQ1183" s="7"/>
    </row>
    <row r="1184" spans="1:69" ht="15" customHeight="1" x14ac:dyDescent="0.3">
      <c r="A1184" s="5"/>
      <c r="B1184" s="5"/>
      <c r="C1184" s="5"/>
      <c r="D1184" s="5"/>
      <c r="F1184" s="6"/>
      <c r="G1184" s="4"/>
      <c r="H1184" s="4"/>
      <c r="I1184" s="4" t="str">
        <f t="shared" si="69"/>
        <v/>
      </c>
      <c r="BN1184" s="7"/>
      <c r="BQ1184" s="7"/>
    </row>
    <row r="1185" spans="1:69" ht="15" customHeight="1" x14ac:dyDescent="0.3">
      <c r="A1185" s="5"/>
      <c r="B1185" s="5"/>
      <c r="C1185" s="5"/>
      <c r="D1185" s="5"/>
      <c r="F1185" s="6"/>
      <c r="G1185" s="4"/>
      <c r="H1185" s="4"/>
      <c r="I1185" s="4" t="str">
        <f t="shared" si="69"/>
        <v/>
      </c>
      <c r="BN1185" s="7"/>
      <c r="BQ1185" s="7"/>
    </row>
    <row r="1186" spans="1:69" ht="15" customHeight="1" x14ac:dyDescent="0.3">
      <c r="A1186" s="5"/>
      <c r="B1186" s="5"/>
      <c r="C1186" s="5"/>
      <c r="D1186" s="5"/>
      <c r="F1186" s="6"/>
      <c r="G1186" s="4"/>
      <c r="H1186" s="4"/>
      <c r="I1186" s="4" t="str">
        <f t="shared" si="69"/>
        <v/>
      </c>
      <c r="BN1186" s="7"/>
      <c r="BQ1186" s="7"/>
    </row>
    <row r="1187" spans="1:69" ht="15" customHeight="1" x14ac:dyDescent="0.3">
      <c r="A1187" s="5"/>
      <c r="B1187" s="5"/>
      <c r="C1187" s="5"/>
      <c r="D1187" s="5"/>
      <c r="F1187" s="6"/>
      <c r="G1187" s="4"/>
      <c r="H1187" s="4"/>
      <c r="I1187" s="4" t="str">
        <f t="shared" si="69"/>
        <v/>
      </c>
      <c r="BN1187" s="7"/>
      <c r="BQ1187" s="7"/>
    </row>
    <row r="1188" spans="1:69" ht="15" customHeight="1" x14ac:dyDescent="0.3">
      <c r="A1188" s="5"/>
      <c r="B1188" s="5"/>
      <c r="C1188" s="5"/>
      <c r="D1188" s="5"/>
      <c r="F1188" s="6"/>
      <c r="G1188" s="4"/>
      <c r="H1188" s="4"/>
      <c r="I1188" s="4" t="str">
        <f t="shared" si="69"/>
        <v/>
      </c>
      <c r="BN1188" s="7"/>
      <c r="BQ1188" s="7"/>
    </row>
    <row r="1189" spans="1:69" ht="15" customHeight="1" x14ac:dyDescent="0.3">
      <c r="A1189" s="5"/>
      <c r="B1189" s="5"/>
      <c r="C1189" s="5"/>
      <c r="D1189" s="5"/>
      <c r="F1189" s="6"/>
      <c r="G1189" s="4"/>
      <c r="H1189" s="4"/>
      <c r="I1189" s="4" t="str">
        <f t="shared" si="69"/>
        <v/>
      </c>
      <c r="BN1189" s="7"/>
      <c r="BQ1189" s="7"/>
    </row>
    <row r="1190" spans="1:69" ht="15" customHeight="1" x14ac:dyDescent="0.3">
      <c r="A1190" s="5"/>
      <c r="B1190" s="5"/>
      <c r="C1190" s="5"/>
      <c r="D1190" s="5"/>
      <c r="F1190" s="6"/>
      <c r="G1190" s="4"/>
      <c r="H1190" s="4"/>
      <c r="I1190" s="4" t="str">
        <f t="shared" si="69"/>
        <v/>
      </c>
      <c r="BN1190" s="7"/>
      <c r="BQ1190" s="7"/>
    </row>
    <row r="1191" spans="1:69" ht="15" customHeight="1" x14ac:dyDescent="0.3">
      <c r="A1191" s="5"/>
      <c r="B1191" s="5"/>
      <c r="C1191" s="5"/>
      <c r="D1191" s="5"/>
      <c r="F1191" s="6"/>
      <c r="G1191" s="4"/>
      <c r="H1191" s="4"/>
      <c r="I1191" s="4" t="str">
        <f t="shared" si="69"/>
        <v/>
      </c>
      <c r="BN1191" s="7"/>
      <c r="BQ1191" s="7"/>
    </row>
    <row r="1192" spans="1:69" ht="15" customHeight="1" x14ac:dyDescent="0.3">
      <c r="A1192" s="5"/>
      <c r="B1192" s="5"/>
      <c r="C1192" s="5"/>
      <c r="D1192" s="5"/>
      <c r="F1192" s="6"/>
      <c r="G1192" s="4"/>
      <c r="H1192" s="4"/>
      <c r="I1192" s="4" t="str">
        <f t="shared" si="69"/>
        <v/>
      </c>
      <c r="BN1192" s="7"/>
      <c r="BQ1192" s="7"/>
    </row>
    <row r="1193" spans="1:69" ht="15" customHeight="1" x14ac:dyDescent="0.3">
      <c r="A1193" s="5"/>
      <c r="B1193" s="5"/>
      <c r="C1193" s="5"/>
      <c r="D1193" s="5"/>
      <c r="F1193" s="6"/>
      <c r="G1193" s="4"/>
      <c r="H1193" s="4"/>
      <c r="I1193" s="4" t="str">
        <f t="shared" si="69"/>
        <v/>
      </c>
      <c r="BN1193" s="7"/>
      <c r="BQ1193" s="7"/>
    </row>
    <row r="1194" spans="1:69" ht="15" customHeight="1" x14ac:dyDescent="0.3">
      <c r="A1194" s="5"/>
      <c r="B1194" s="5"/>
      <c r="C1194" s="5"/>
      <c r="D1194" s="5"/>
      <c r="F1194" s="6"/>
      <c r="G1194" s="4"/>
      <c r="H1194" s="4"/>
      <c r="I1194" s="4" t="str">
        <f t="shared" si="69"/>
        <v/>
      </c>
      <c r="BN1194" s="7"/>
      <c r="BQ1194" s="7"/>
    </row>
    <row r="1195" spans="1:69" ht="15" customHeight="1" x14ac:dyDescent="0.3">
      <c r="A1195" s="5"/>
      <c r="B1195" s="5"/>
      <c r="C1195" s="5"/>
      <c r="D1195" s="5"/>
      <c r="F1195" s="6"/>
      <c r="G1195" s="4"/>
      <c r="H1195" s="4"/>
      <c r="I1195" s="4" t="str">
        <f t="shared" si="69"/>
        <v/>
      </c>
      <c r="BN1195" s="7"/>
      <c r="BQ1195" s="7"/>
    </row>
    <row r="1196" spans="1:69" ht="15" customHeight="1" x14ac:dyDescent="0.3">
      <c r="A1196" s="5"/>
      <c r="B1196" s="5"/>
      <c r="C1196" s="5"/>
      <c r="D1196" s="5"/>
      <c r="F1196" s="6"/>
      <c r="G1196" s="4"/>
      <c r="H1196" s="4"/>
      <c r="I1196" s="4" t="str">
        <f t="shared" si="69"/>
        <v/>
      </c>
      <c r="BN1196" s="7"/>
      <c r="BQ1196" s="7"/>
    </row>
    <row r="1197" spans="1:69" ht="15" customHeight="1" x14ac:dyDescent="0.3">
      <c r="A1197" s="5"/>
      <c r="B1197" s="5"/>
      <c r="C1197" s="5"/>
      <c r="D1197" s="5"/>
      <c r="F1197" s="6"/>
      <c r="G1197" s="4"/>
      <c r="H1197" s="4"/>
      <c r="I1197" s="4" t="str">
        <f t="shared" si="69"/>
        <v/>
      </c>
      <c r="BN1197" s="7"/>
      <c r="BQ1197" s="7"/>
    </row>
    <row r="1198" spans="1:69" ht="15" customHeight="1" x14ac:dyDescent="0.3">
      <c r="A1198" s="5"/>
      <c r="B1198" s="5"/>
      <c r="C1198" s="5"/>
      <c r="D1198" s="5"/>
      <c r="F1198" s="6"/>
      <c r="G1198" s="4"/>
      <c r="H1198" s="4"/>
      <c r="I1198" s="4" t="str">
        <f t="shared" si="69"/>
        <v/>
      </c>
      <c r="BN1198" s="7"/>
      <c r="BQ1198" s="7"/>
    </row>
    <row r="1199" spans="1:69" ht="15" customHeight="1" x14ac:dyDescent="0.3">
      <c r="A1199" s="5"/>
      <c r="B1199" s="5"/>
      <c r="C1199" s="5"/>
      <c r="D1199" s="5"/>
      <c r="F1199" s="6"/>
      <c r="G1199" s="4"/>
      <c r="H1199" s="4"/>
      <c r="I1199" s="4" t="str">
        <f t="shared" si="69"/>
        <v/>
      </c>
      <c r="BN1199" s="7"/>
      <c r="BQ1199" s="7"/>
    </row>
    <row r="1200" spans="1:69" ht="15" customHeight="1" x14ac:dyDescent="0.3">
      <c r="A1200" s="5"/>
      <c r="B1200" s="5"/>
      <c r="C1200" s="5"/>
      <c r="D1200" s="5"/>
      <c r="F1200" s="6"/>
      <c r="G1200" s="4"/>
      <c r="H1200" s="4"/>
      <c r="I1200" s="4" t="str">
        <f t="shared" si="69"/>
        <v/>
      </c>
      <c r="BN1200" s="7"/>
      <c r="BQ1200" s="7"/>
    </row>
    <row r="1201" spans="1:69" ht="15" customHeight="1" x14ac:dyDescent="0.3">
      <c r="A1201" s="5"/>
      <c r="B1201" s="5"/>
      <c r="C1201" s="5"/>
      <c r="D1201" s="5"/>
      <c r="F1201" s="6"/>
      <c r="G1201" s="4"/>
      <c r="H1201" s="4"/>
      <c r="I1201" s="4" t="str">
        <f t="shared" si="69"/>
        <v/>
      </c>
      <c r="BN1201" s="7"/>
      <c r="BQ1201" s="7"/>
    </row>
    <row r="1202" spans="1:69" ht="15" customHeight="1" x14ac:dyDescent="0.3">
      <c r="A1202" s="5"/>
      <c r="B1202" s="5"/>
      <c r="C1202" s="5"/>
      <c r="D1202" s="5"/>
      <c r="F1202" s="6"/>
      <c r="G1202" s="4"/>
      <c r="H1202" s="4"/>
      <c r="I1202" s="4" t="str">
        <f t="shared" si="69"/>
        <v/>
      </c>
      <c r="BN1202" s="7"/>
      <c r="BQ1202" s="7"/>
    </row>
    <row r="1203" spans="1:69" ht="15" customHeight="1" x14ac:dyDescent="0.3">
      <c r="A1203" s="5"/>
      <c r="B1203" s="5"/>
      <c r="C1203" s="5"/>
      <c r="D1203" s="5"/>
      <c r="F1203" s="6"/>
      <c r="G1203" s="4"/>
      <c r="H1203" s="4"/>
      <c r="I1203" s="4" t="str">
        <f t="shared" si="69"/>
        <v/>
      </c>
      <c r="BN1203" s="7"/>
      <c r="BQ1203" s="7"/>
    </row>
    <row r="1204" spans="1:69" ht="15" customHeight="1" x14ac:dyDescent="0.3">
      <c r="A1204" s="5"/>
      <c r="B1204" s="5"/>
      <c r="C1204" s="5"/>
      <c r="D1204" s="5"/>
      <c r="F1204" s="6"/>
      <c r="G1204" s="4"/>
      <c r="H1204" s="4"/>
      <c r="I1204" s="4" t="str">
        <f t="shared" si="69"/>
        <v/>
      </c>
      <c r="BN1204" s="7"/>
      <c r="BQ1204" s="7"/>
    </row>
    <row r="1205" spans="1:69" ht="15" customHeight="1" x14ac:dyDescent="0.3">
      <c r="A1205" s="5"/>
      <c r="B1205" s="5"/>
      <c r="C1205" s="5"/>
      <c r="D1205" s="5"/>
      <c r="F1205" s="6"/>
      <c r="G1205" s="4"/>
      <c r="H1205" s="4"/>
      <c r="I1205" s="4" t="str">
        <f t="shared" si="69"/>
        <v/>
      </c>
      <c r="BN1205" s="7"/>
      <c r="BQ1205" s="7"/>
    </row>
    <row r="1206" spans="1:69" ht="15" customHeight="1" x14ac:dyDescent="0.3">
      <c r="A1206" s="5"/>
      <c r="B1206" s="5"/>
      <c r="C1206" s="5"/>
      <c r="D1206" s="5"/>
      <c r="F1206" s="6"/>
      <c r="G1206" s="4"/>
      <c r="H1206" s="4"/>
      <c r="I1206" s="4" t="str">
        <f t="shared" si="69"/>
        <v/>
      </c>
      <c r="BN1206" s="7"/>
      <c r="BQ1206" s="7"/>
    </row>
    <row r="1207" spans="1:69" ht="15" customHeight="1" x14ac:dyDescent="0.3">
      <c r="A1207" s="5"/>
      <c r="B1207" s="5"/>
      <c r="C1207" s="5"/>
      <c r="D1207" s="5"/>
      <c r="F1207" s="6"/>
      <c r="G1207" s="4"/>
      <c r="H1207" s="4"/>
      <c r="I1207" s="4" t="str">
        <f t="shared" si="69"/>
        <v/>
      </c>
      <c r="BN1207" s="7"/>
      <c r="BQ1207" s="7"/>
    </row>
    <row r="1208" spans="1:69" ht="15" customHeight="1" x14ac:dyDescent="0.3">
      <c r="A1208" s="5"/>
      <c r="B1208" s="5"/>
      <c r="C1208" s="5"/>
      <c r="D1208" s="5"/>
      <c r="F1208" s="6"/>
      <c r="G1208" s="4"/>
      <c r="H1208" s="4"/>
      <c r="I1208" s="4" t="str">
        <f t="shared" si="69"/>
        <v/>
      </c>
      <c r="BN1208" s="7"/>
      <c r="BQ1208" s="7"/>
    </row>
    <row r="1209" spans="1:69" ht="15" customHeight="1" x14ac:dyDescent="0.3">
      <c r="A1209" s="5"/>
      <c r="B1209" s="5"/>
      <c r="C1209" s="5"/>
      <c r="D1209" s="5"/>
      <c r="F1209" s="6"/>
      <c r="G1209" s="4"/>
      <c r="H1209" s="4"/>
      <c r="I1209" s="4" t="str">
        <f t="shared" si="69"/>
        <v/>
      </c>
      <c r="BN1209" s="7"/>
      <c r="BQ1209" s="7"/>
    </row>
    <row r="1210" spans="1:69" ht="15" customHeight="1" x14ac:dyDescent="0.3">
      <c r="A1210" s="5"/>
      <c r="B1210" s="5"/>
      <c r="C1210" s="5"/>
      <c r="D1210" s="5"/>
      <c r="F1210" s="6"/>
      <c r="G1210" s="4"/>
      <c r="H1210" s="4"/>
      <c r="I1210" s="4" t="str">
        <f t="shared" si="69"/>
        <v/>
      </c>
      <c r="BN1210" s="7"/>
      <c r="BQ1210" s="7"/>
    </row>
    <row r="1211" spans="1:69" ht="15" customHeight="1" x14ac:dyDescent="0.3">
      <c r="A1211" s="5"/>
      <c r="B1211" s="5"/>
      <c r="C1211" s="5"/>
      <c r="D1211" s="5"/>
      <c r="F1211" s="6"/>
      <c r="G1211" s="4"/>
      <c r="H1211" s="4"/>
      <c r="I1211" s="4" t="str">
        <f t="shared" si="69"/>
        <v/>
      </c>
      <c r="BN1211" s="7"/>
      <c r="BQ1211" s="7"/>
    </row>
    <row r="1212" spans="1:69" ht="15" customHeight="1" x14ac:dyDescent="0.3">
      <c r="A1212" s="5"/>
      <c r="B1212" s="5"/>
      <c r="C1212" s="5"/>
      <c r="D1212" s="5"/>
      <c r="F1212" s="6"/>
      <c r="G1212" s="4"/>
      <c r="H1212" s="4"/>
      <c r="I1212" s="4" t="str">
        <f t="shared" si="69"/>
        <v/>
      </c>
      <c r="BN1212" s="7"/>
      <c r="BQ1212" s="7"/>
    </row>
    <row r="1213" spans="1:69" ht="15" customHeight="1" x14ac:dyDescent="0.3">
      <c r="A1213" s="5"/>
      <c r="B1213" s="5"/>
      <c r="C1213" s="5"/>
      <c r="D1213" s="5"/>
      <c r="F1213" s="6"/>
      <c r="G1213" s="4"/>
      <c r="H1213" s="4"/>
      <c r="I1213" s="4" t="str">
        <f t="shared" si="69"/>
        <v/>
      </c>
      <c r="BN1213" s="7"/>
      <c r="BQ1213" s="7"/>
    </row>
    <row r="1214" spans="1:69" ht="15" customHeight="1" x14ac:dyDescent="0.3">
      <c r="A1214" s="5"/>
      <c r="B1214" s="5"/>
      <c r="C1214" s="5"/>
      <c r="D1214" s="5"/>
      <c r="F1214" s="6"/>
      <c r="G1214" s="4"/>
      <c r="H1214" s="4"/>
      <c r="I1214" s="4" t="str">
        <f t="shared" si="69"/>
        <v/>
      </c>
      <c r="BN1214" s="7"/>
      <c r="BQ1214" s="7"/>
    </row>
    <row r="1215" spans="1:69" ht="15" customHeight="1" x14ac:dyDescent="0.3">
      <c r="A1215" s="5"/>
      <c r="B1215" s="5"/>
      <c r="C1215" s="5"/>
      <c r="D1215" s="5"/>
      <c r="F1215" s="6"/>
      <c r="G1215" s="4"/>
      <c r="H1215" s="4"/>
      <c r="I1215" s="4" t="str">
        <f t="shared" si="69"/>
        <v/>
      </c>
      <c r="BN1215" s="7"/>
      <c r="BQ1215" s="7"/>
    </row>
    <row r="1216" spans="1:69" ht="15" customHeight="1" x14ac:dyDescent="0.3">
      <c r="A1216" s="5"/>
      <c r="B1216" s="5"/>
      <c r="C1216" s="5"/>
      <c r="D1216" s="5"/>
      <c r="F1216" s="6"/>
      <c r="G1216" s="4"/>
      <c r="H1216" s="4"/>
      <c r="I1216" s="4" t="str">
        <f t="shared" si="69"/>
        <v/>
      </c>
      <c r="BN1216" s="7"/>
      <c r="BQ1216" s="7"/>
    </row>
    <row r="1217" spans="1:69" ht="15" customHeight="1" x14ac:dyDescent="0.3">
      <c r="A1217" s="5"/>
      <c r="B1217" s="5"/>
      <c r="C1217" s="5"/>
      <c r="D1217" s="5"/>
      <c r="F1217" s="6"/>
      <c r="G1217" s="4"/>
      <c r="H1217" s="4"/>
      <c r="I1217" s="4" t="str">
        <f t="shared" si="69"/>
        <v/>
      </c>
      <c r="BN1217" s="7"/>
      <c r="BQ1217" s="7"/>
    </row>
    <row r="1218" spans="1:69" ht="15" customHeight="1" x14ac:dyDescent="0.3">
      <c r="A1218" s="5"/>
      <c r="B1218" s="5"/>
      <c r="C1218" s="5"/>
      <c r="D1218" s="5"/>
      <c r="F1218" s="6"/>
      <c r="G1218" s="4"/>
      <c r="H1218" s="4"/>
      <c r="I1218" s="4" t="str">
        <f t="shared" si="69"/>
        <v/>
      </c>
      <c r="BN1218" s="7"/>
      <c r="BQ1218" s="7"/>
    </row>
    <row r="1219" spans="1:69" ht="15" customHeight="1" x14ac:dyDescent="0.3">
      <c r="A1219" s="5"/>
      <c r="B1219" s="5"/>
      <c r="C1219" s="5"/>
      <c r="D1219" s="5"/>
      <c r="F1219" s="6"/>
      <c r="G1219" s="4"/>
      <c r="H1219" s="4"/>
      <c r="I1219" s="4" t="str">
        <f t="shared" ref="I1219:I1249" si="70">IFERROR(MID(A1219,FIND("Sorry, the entered Application Number",A1219),68),"")</f>
        <v/>
      </c>
      <c r="BN1219" s="7"/>
      <c r="BQ1219" s="7"/>
    </row>
    <row r="1220" spans="1:69" ht="15" customHeight="1" x14ac:dyDescent="0.3">
      <c r="A1220" s="5"/>
      <c r="B1220" s="5"/>
      <c r="C1220" s="5"/>
      <c r="D1220" s="5"/>
      <c r="F1220" s="6"/>
      <c r="G1220" s="4"/>
      <c r="H1220" s="4"/>
      <c r="I1220" s="4" t="str">
        <f t="shared" si="70"/>
        <v/>
      </c>
      <c r="BN1220" s="7"/>
      <c r="BQ1220" s="7"/>
    </row>
    <row r="1221" spans="1:69" ht="15" customHeight="1" x14ac:dyDescent="0.3">
      <c r="A1221" s="5"/>
      <c r="B1221" s="5"/>
      <c r="C1221" s="5"/>
      <c r="D1221" s="5"/>
      <c r="F1221" s="6"/>
      <c r="G1221" s="4"/>
      <c r="H1221" s="4"/>
      <c r="I1221" s="4" t="str">
        <f t="shared" si="70"/>
        <v/>
      </c>
      <c r="BN1221" s="7"/>
      <c r="BQ1221" s="7"/>
    </row>
    <row r="1222" spans="1:69" ht="15" customHeight="1" x14ac:dyDescent="0.3">
      <c r="A1222" s="5"/>
      <c r="B1222" s="5"/>
      <c r="C1222" s="5"/>
      <c r="D1222" s="5"/>
      <c r="F1222" s="6"/>
      <c r="G1222" s="4"/>
      <c r="H1222" s="4"/>
      <c r="I1222" s="4" t="str">
        <f t="shared" si="70"/>
        <v/>
      </c>
      <c r="BN1222" s="7"/>
      <c r="BQ1222" s="7"/>
    </row>
    <row r="1223" spans="1:69" ht="15" customHeight="1" x14ac:dyDescent="0.3">
      <c r="A1223" s="5"/>
      <c r="B1223" s="5"/>
      <c r="C1223" s="5"/>
      <c r="D1223" s="5"/>
      <c r="F1223" s="6"/>
      <c r="G1223" s="4"/>
      <c r="H1223" s="4"/>
      <c r="I1223" s="4" t="str">
        <f t="shared" si="70"/>
        <v/>
      </c>
      <c r="BN1223" s="7"/>
      <c r="BQ1223" s="7"/>
    </row>
    <row r="1224" spans="1:69" ht="15" customHeight="1" x14ac:dyDescent="0.3">
      <c r="A1224" s="5"/>
      <c r="B1224" s="5"/>
      <c r="C1224" s="5"/>
      <c r="D1224" s="5"/>
      <c r="F1224" s="6"/>
      <c r="G1224" s="4"/>
      <c r="H1224" s="4"/>
      <c r="I1224" s="4" t="str">
        <f t="shared" si="70"/>
        <v/>
      </c>
      <c r="BN1224" s="7"/>
      <c r="BQ1224" s="7"/>
    </row>
    <row r="1225" spans="1:69" ht="15" customHeight="1" x14ac:dyDescent="0.3">
      <c r="A1225" s="5"/>
      <c r="B1225" s="5"/>
      <c r="C1225" s="5"/>
      <c r="D1225" s="5"/>
      <c r="F1225" s="6"/>
      <c r="G1225" s="4"/>
      <c r="H1225" s="4"/>
      <c r="I1225" s="4" t="str">
        <f t="shared" si="70"/>
        <v/>
      </c>
      <c r="BN1225" s="7"/>
      <c r="BQ1225" s="7"/>
    </row>
    <row r="1226" spans="1:69" ht="15" customHeight="1" x14ac:dyDescent="0.3">
      <c r="A1226" s="5"/>
      <c r="B1226" s="5"/>
      <c r="C1226" s="5"/>
      <c r="D1226" s="5"/>
      <c r="F1226" s="6"/>
      <c r="G1226" s="4"/>
      <c r="H1226" s="4"/>
      <c r="I1226" s="4" t="str">
        <f t="shared" si="70"/>
        <v/>
      </c>
      <c r="BN1226" s="7"/>
      <c r="BQ1226" s="7"/>
    </row>
    <row r="1227" spans="1:69" ht="15" customHeight="1" x14ac:dyDescent="0.3">
      <c r="A1227" s="5"/>
      <c r="B1227" s="5"/>
      <c r="C1227" s="5"/>
      <c r="D1227" s="5"/>
      <c r="F1227" s="6"/>
      <c r="G1227" s="4"/>
      <c r="H1227" s="4"/>
      <c r="I1227" s="4" t="str">
        <f t="shared" si="70"/>
        <v/>
      </c>
      <c r="BN1227" s="7"/>
      <c r="BQ1227" s="7"/>
    </row>
    <row r="1228" spans="1:69" ht="15" customHeight="1" x14ac:dyDescent="0.3">
      <c r="A1228" s="5"/>
      <c r="B1228" s="5"/>
      <c r="C1228" s="5"/>
      <c r="D1228" s="5"/>
      <c r="F1228" s="6"/>
      <c r="G1228" s="4"/>
      <c r="H1228" s="4"/>
      <c r="I1228" s="4" t="str">
        <f t="shared" si="70"/>
        <v/>
      </c>
      <c r="BN1228" s="7"/>
      <c r="BQ1228" s="7"/>
    </row>
    <row r="1229" spans="1:69" ht="15" customHeight="1" x14ac:dyDescent="0.3">
      <c r="A1229" s="5"/>
      <c r="B1229" s="5"/>
      <c r="C1229" s="5"/>
      <c r="D1229" s="5"/>
      <c r="F1229" s="6"/>
      <c r="G1229" s="4"/>
      <c r="H1229" s="4"/>
      <c r="I1229" s="4" t="str">
        <f t="shared" si="70"/>
        <v/>
      </c>
      <c r="BN1229" s="7"/>
      <c r="BQ1229" s="7"/>
    </row>
    <row r="1230" spans="1:69" ht="15" customHeight="1" x14ac:dyDescent="0.3">
      <c r="A1230" s="5"/>
      <c r="B1230" s="5"/>
      <c r="C1230" s="5"/>
      <c r="D1230" s="5"/>
      <c r="F1230" s="6"/>
      <c r="G1230" s="4"/>
      <c r="H1230" s="4"/>
      <c r="I1230" s="4" t="str">
        <f t="shared" si="70"/>
        <v/>
      </c>
      <c r="BN1230" s="7"/>
      <c r="BQ1230" s="7"/>
    </row>
    <row r="1231" spans="1:69" ht="15" customHeight="1" x14ac:dyDescent="0.3">
      <c r="A1231" s="5"/>
      <c r="B1231" s="5"/>
      <c r="C1231" s="5"/>
      <c r="D1231" s="5"/>
      <c r="F1231" s="6"/>
      <c r="G1231" s="4"/>
      <c r="H1231" s="4"/>
      <c r="I1231" s="4" t="str">
        <f t="shared" si="70"/>
        <v/>
      </c>
      <c r="BN1231" s="7"/>
      <c r="BQ1231" s="7"/>
    </row>
    <row r="1232" spans="1:69" ht="15" customHeight="1" x14ac:dyDescent="0.3">
      <c r="A1232" s="5"/>
      <c r="B1232" s="5"/>
      <c r="C1232" s="5"/>
      <c r="D1232" s="5"/>
      <c r="F1232" s="6"/>
      <c r="G1232" s="4"/>
      <c r="H1232" s="4"/>
      <c r="I1232" s="4" t="str">
        <f t="shared" si="70"/>
        <v/>
      </c>
      <c r="BN1232" s="7"/>
      <c r="BQ1232" s="7"/>
    </row>
    <row r="1233" spans="1:69" ht="15" customHeight="1" x14ac:dyDescent="0.3">
      <c r="A1233" s="5"/>
      <c r="B1233" s="5"/>
      <c r="C1233" s="5"/>
      <c r="D1233" s="5"/>
      <c r="F1233" s="6"/>
      <c r="G1233" s="4"/>
      <c r="H1233" s="4"/>
      <c r="I1233" s="4" t="str">
        <f t="shared" si="70"/>
        <v/>
      </c>
      <c r="BN1233" s="7"/>
      <c r="BQ1233" s="7"/>
    </row>
    <row r="1234" spans="1:69" ht="15" customHeight="1" x14ac:dyDescent="0.3">
      <c r="A1234" s="5"/>
      <c r="B1234" s="5"/>
      <c r="C1234" s="5"/>
      <c r="D1234" s="5"/>
      <c r="F1234" s="6"/>
      <c r="G1234" s="4"/>
      <c r="H1234" s="4"/>
      <c r="I1234" s="4" t="str">
        <f t="shared" si="70"/>
        <v/>
      </c>
      <c r="BN1234" s="7"/>
      <c r="BQ1234" s="7"/>
    </row>
    <row r="1235" spans="1:69" ht="15" customHeight="1" x14ac:dyDescent="0.3">
      <c r="A1235" s="5"/>
      <c r="B1235" s="5"/>
      <c r="C1235" s="5"/>
      <c r="D1235" s="5"/>
      <c r="F1235" s="6"/>
      <c r="G1235" s="4"/>
      <c r="H1235" s="4"/>
      <c r="I1235" s="4" t="str">
        <f t="shared" si="70"/>
        <v/>
      </c>
      <c r="BN1235" s="7"/>
      <c r="BQ1235" s="7"/>
    </row>
    <row r="1236" spans="1:69" ht="15" customHeight="1" x14ac:dyDescent="0.3">
      <c r="A1236" s="5"/>
      <c r="B1236" s="5"/>
      <c r="C1236" s="5"/>
      <c r="D1236" s="5"/>
      <c r="F1236" s="6"/>
      <c r="G1236" s="4"/>
      <c r="H1236" s="4"/>
      <c r="I1236" s="4" t="str">
        <f t="shared" si="70"/>
        <v/>
      </c>
      <c r="BN1236" s="7"/>
      <c r="BQ1236" s="7"/>
    </row>
    <row r="1237" spans="1:69" ht="15" customHeight="1" x14ac:dyDescent="0.3">
      <c r="A1237" s="5"/>
      <c r="B1237" s="5"/>
      <c r="C1237" s="5"/>
      <c r="D1237" s="5"/>
      <c r="F1237" s="6"/>
      <c r="G1237" s="4"/>
      <c r="H1237" s="4"/>
      <c r="I1237" s="4" t="str">
        <f t="shared" si="70"/>
        <v/>
      </c>
      <c r="BN1237" s="7"/>
      <c r="BQ1237" s="7"/>
    </row>
    <row r="1238" spans="1:69" ht="15" customHeight="1" x14ac:dyDescent="0.3">
      <c r="A1238" s="5"/>
      <c r="B1238" s="5"/>
      <c r="C1238" s="5"/>
      <c r="D1238" s="5"/>
      <c r="F1238" s="6"/>
      <c r="G1238" s="4"/>
      <c r="H1238" s="4"/>
      <c r="I1238" s="4" t="str">
        <f t="shared" si="70"/>
        <v/>
      </c>
      <c r="BN1238" s="7"/>
      <c r="BQ1238" s="7"/>
    </row>
    <row r="1239" spans="1:69" ht="15" customHeight="1" x14ac:dyDescent="0.3">
      <c r="A1239" s="5"/>
      <c r="B1239" s="5"/>
      <c r="C1239" s="5"/>
      <c r="D1239" s="5"/>
      <c r="F1239" s="6"/>
      <c r="G1239" s="4"/>
      <c r="H1239" s="4"/>
      <c r="I1239" s="4" t="str">
        <f t="shared" si="70"/>
        <v/>
      </c>
      <c r="BN1239" s="7"/>
      <c r="BQ1239" s="7"/>
    </row>
    <row r="1240" spans="1:69" ht="15" customHeight="1" x14ac:dyDescent="0.3">
      <c r="A1240" s="5"/>
      <c r="B1240" s="5"/>
      <c r="C1240" s="5"/>
      <c r="D1240" s="5"/>
      <c r="F1240" s="6"/>
      <c r="G1240" s="4"/>
      <c r="H1240" s="4"/>
      <c r="I1240" s="4" t="str">
        <f t="shared" si="70"/>
        <v/>
      </c>
      <c r="BN1240" s="7"/>
      <c r="BQ1240" s="7"/>
    </row>
    <row r="1241" spans="1:69" ht="15" customHeight="1" x14ac:dyDescent="0.3">
      <c r="A1241" s="5"/>
      <c r="B1241" s="5"/>
      <c r="C1241" s="5"/>
      <c r="D1241" s="5"/>
      <c r="F1241" s="6"/>
      <c r="G1241" s="4"/>
      <c r="H1241" s="4"/>
      <c r="I1241" s="4" t="str">
        <f t="shared" si="70"/>
        <v/>
      </c>
      <c r="BN1241" s="7"/>
      <c r="BQ1241" s="7"/>
    </row>
    <row r="1242" spans="1:69" ht="15" customHeight="1" x14ac:dyDescent="0.3">
      <c r="A1242" s="5"/>
      <c r="B1242" s="5"/>
      <c r="C1242" s="5"/>
      <c r="D1242" s="5"/>
      <c r="F1242" s="6"/>
      <c r="G1242" s="4"/>
      <c r="H1242" s="4"/>
      <c r="I1242" s="4" t="str">
        <f t="shared" si="70"/>
        <v/>
      </c>
      <c r="BN1242" s="7"/>
      <c r="BQ1242" s="7"/>
    </row>
    <row r="1243" spans="1:69" ht="15" customHeight="1" x14ac:dyDescent="0.3">
      <c r="A1243" s="5"/>
      <c r="B1243" s="5"/>
      <c r="C1243" s="5"/>
      <c r="D1243" s="5"/>
      <c r="F1243" s="6"/>
      <c r="G1243" s="4"/>
      <c r="H1243" s="4"/>
      <c r="I1243" s="4" t="str">
        <f t="shared" si="70"/>
        <v/>
      </c>
      <c r="BN1243" s="7"/>
      <c r="BQ1243" s="7"/>
    </row>
    <row r="1244" spans="1:69" ht="15" customHeight="1" x14ac:dyDescent="0.3">
      <c r="A1244" s="5"/>
      <c r="B1244" s="5"/>
      <c r="C1244" s="5"/>
      <c r="D1244" s="5"/>
      <c r="F1244" s="6"/>
      <c r="G1244" s="4"/>
      <c r="H1244" s="4"/>
      <c r="I1244" s="4" t="str">
        <f t="shared" si="70"/>
        <v/>
      </c>
      <c r="BN1244" s="7"/>
      <c r="BQ1244" s="7"/>
    </row>
    <row r="1245" spans="1:69" ht="15" customHeight="1" x14ac:dyDescent="0.3">
      <c r="A1245" s="5"/>
      <c r="B1245" s="5"/>
      <c r="C1245" s="5"/>
      <c r="D1245" s="5"/>
      <c r="F1245" s="6"/>
      <c r="G1245" s="4"/>
      <c r="H1245" s="4"/>
      <c r="I1245" s="4" t="str">
        <f t="shared" si="70"/>
        <v/>
      </c>
      <c r="BN1245" s="7"/>
      <c r="BQ1245" s="7"/>
    </row>
    <row r="1246" spans="1:69" ht="15" customHeight="1" x14ac:dyDescent="0.3">
      <c r="A1246" s="5"/>
      <c r="B1246" s="5"/>
      <c r="C1246" s="5"/>
      <c r="D1246" s="5"/>
      <c r="F1246" s="6"/>
      <c r="G1246" s="4"/>
      <c r="H1246" s="4"/>
      <c r="I1246" s="4" t="str">
        <f t="shared" si="70"/>
        <v/>
      </c>
      <c r="BN1246" s="7"/>
      <c r="BQ1246" s="7"/>
    </row>
    <row r="1247" spans="1:69" ht="15" customHeight="1" x14ac:dyDescent="0.3">
      <c r="A1247" s="5"/>
      <c r="B1247" s="5"/>
      <c r="C1247" s="5"/>
      <c r="D1247" s="5"/>
      <c r="F1247" s="6"/>
      <c r="G1247" s="4"/>
      <c r="H1247" s="4"/>
      <c r="I1247" s="4" t="str">
        <f t="shared" si="70"/>
        <v/>
      </c>
      <c r="BN1247" s="7"/>
      <c r="BQ1247" s="7"/>
    </row>
    <row r="1248" spans="1:69" ht="15" customHeight="1" x14ac:dyDescent="0.3">
      <c r="A1248" s="5"/>
      <c r="B1248" s="5"/>
      <c r="C1248" s="5"/>
      <c r="D1248" s="5"/>
      <c r="F1248" s="6"/>
      <c r="G1248" s="4"/>
      <c r="H1248" s="4"/>
      <c r="I1248" s="4" t="str">
        <f t="shared" si="70"/>
        <v/>
      </c>
      <c r="BN1248" s="7"/>
      <c r="BQ1248" s="7"/>
    </row>
    <row r="1249" spans="1:69" ht="15" customHeight="1" x14ac:dyDescent="0.3">
      <c r="A1249" s="5"/>
      <c r="B1249" s="5"/>
      <c r="C1249" s="5"/>
      <c r="D1249" s="5"/>
      <c r="F1249" s="6"/>
      <c r="G1249" s="4"/>
      <c r="H1249" s="4"/>
      <c r="I1249" s="4" t="str">
        <f t="shared" si="70"/>
        <v/>
      </c>
      <c r="BN1249" s="7"/>
      <c r="BQ1249" s="7"/>
    </row>
    <row r="1250" spans="1:69" ht="15" customHeight="1" x14ac:dyDescent="0.3"/>
    <row r="1251" spans="1:69" ht="15" customHeight="1" x14ac:dyDescent="0.3"/>
    <row r="1252" spans="1:69" ht="15" customHeight="1" x14ac:dyDescent="0.3"/>
    <row r="1253" spans="1:69" ht="15" customHeight="1" x14ac:dyDescent="0.3"/>
    <row r="1254" spans="1:69" ht="15" customHeight="1" x14ac:dyDescent="0.3"/>
    <row r="1255" spans="1:69" ht="15" customHeight="1" x14ac:dyDescent="0.3"/>
    <row r="1256" spans="1:69" ht="15" customHeight="1" x14ac:dyDescent="0.3"/>
    <row r="1257" spans="1:69" ht="15" customHeight="1" x14ac:dyDescent="0.3"/>
    <row r="1258" spans="1:69" ht="15" customHeight="1" x14ac:dyDescent="0.3"/>
    <row r="1259" spans="1:69" ht="15" customHeight="1" x14ac:dyDescent="0.3"/>
    <row r="1260" spans="1:69" ht="15" customHeight="1" x14ac:dyDescent="0.3"/>
    <row r="1261" spans="1:69" ht="15" customHeight="1" x14ac:dyDescent="0.3"/>
    <row r="1262" spans="1:69" ht="15" customHeight="1" x14ac:dyDescent="0.3"/>
    <row r="1263" spans="1:69" ht="15" customHeight="1" x14ac:dyDescent="0.3"/>
    <row r="1264" spans="1:69" ht="15" customHeight="1" x14ac:dyDescent="0.3"/>
    <row r="1265" ht="15" customHeight="1" x14ac:dyDescent="0.3"/>
    <row r="1266" ht="15" customHeight="1" x14ac:dyDescent="0.3"/>
    <row r="1267" ht="15" customHeight="1" x14ac:dyDescent="0.3"/>
    <row r="1268" ht="15" customHeight="1" x14ac:dyDescent="0.3"/>
    <row r="1269" ht="15" customHeight="1" x14ac:dyDescent="0.3"/>
    <row r="1270" ht="15" customHeight="1" x14ac:dyDescent="0.3"/>
    <row r="1271" ht="15" customHeight="1" x14ac:dyDescent="0.3"/>
    <row r="1272" ht="15" customHeight="1" x14ac:dyDescent="0.3"/>
    <row r="1273" ht="15" customHeight="1" x14ac:dyDescent="0.3"/>
    <row r="1274" ht="15" customHeight="1" x14ac:dyDescent="0.3"/>
    <row r="1275" ht="15" customHeight="1" x14ac:dyDescent="0.3"/>
    <row r="1276" ht="15" customHeight="1" x14ac:dyDescent="0.3"/>
    <row r="1277" ht="15" customHeight="1" x14ac:dyDescent="0.3"/>
    <row r="1278" ht="15" customHeight="1" x14ac:dyDescent="0.3"/>
    <row r="1279" ht="15" customHeight="1" x14ac:dyDescent="0.3"/>
    <row r="1280" ht="15" customHeight="1" x14ac:dyDescent="0.3"/>
    <row r="1281" ht="15" customHeight="1" x14ac:dyDescent="0.3"/>
    <row r="1282" ht="15" customHeight="1" x14ac:dyDescent="0.3"/>
    <row r="1283" ht="15" customHeight="1" x14ac:dyDescent="0.3"/>
    <row r="1284" ht="15" customHeight="1" x14ac:dyDescent="0.3"/>
    <row r="1285" ht="15" customHeight="1" x14ac:dyDescent="0.3"/>
    <row r="1286" ht="15" customHeight="1" x14ac:dyDescent="0.3"/>
    <row r="1287" ht="15" customHeight="1" x14ac:dyDescent="0.3"/>
    <row r="1288" ht="15" customHeight="1" x14ac:dyDescent="0.3"/>
    <row r="1289" ht="15" customHeight="1" x14ac:dyDescent="0.3"/>
    <row r="1290" ht="15" customHeight="1" x14ac:dyDescent="0.3"/>
    <row r="1291" ht="15" customHeight="1" x14ac:dyDescent="0.3"/>
    <row r="1292" ht="15" customHeight="1" x14ac:dyDescent="0.3"/>
    <row r="1293" ht="15" customHeight="1" x14ac:dyDescent="0.3"/>
    <row r="1294" ht="15" customHeight="1" x14ac:dyDescent="0.3"/>
    <row r="1295" ht="15" customHeight="1" x14ac:dyDescent="0.3"/>
    <row r="1296" ht="15" customHeight="1" x14ac:dyDescent="0.3"/>
    <row r="1297" ht="15" customHeight="1" x14ac:dyDescent="0.3"/>
    <row r="1298" ht="15" customHeight="1" x14ac:dyDescent="0.3"/>
    <row r="1299" ht="15" customHeight="1" x14ac:dyDescent="0.3"/>
    <row r="1300" ht="15" customHeight="1" x14ac:dyDescent="0.3"/>
    <row r="1301" ht="15" customHeight="1" x14ac:dyDescent="0.3"/>
    <row r="1302" ht="15" customHeight="1" x14ac:dyDescent="0.3"/>
    <row r="1303" ht="15" customHeight="1" x14ac:dyDescent="0.3"/>
    <row r="1304" ht="15" customHeight="1" x14ac:dyDescent="0.3"/>
    <row r="1305" ht="15" customHeight="1" x14ac:dyDescent="0.3"/>
    <row r="1306" ht="15" customHeight="1" x14ac:dyDescent="0.3"/>
    <row r="1307" ht="15" customHeight="1" x14ac:dyDescent="0.3"/>
    <row r="1308" ht="15" customHeight="1" x14ac:dyDescent="0.3"/>
    <row r="1309" ht="15" customHeight="1" x14ac:dyDescent="0.3"/>
    <row r="1310" ht="15" customHeight="1" x14ac:dyDescent="0.3"/>
    <row r="1311" ht="15" customHeight="1" x14ac:dyDescent="0.3"/>
    <row r="1312" ht="15" customHeight="1" x14ac:dyDescent="0.3"/>
    <row r="1313" ht="15" customHeight="1" x14ac:dyDescent="0.3"/>
    <row r="1314" ht="15" customHeight="1" x14ac:dyDescent="0.3"/>
    <row r="1315" ht="15" customHeight="1" x14ac:dyDescent="0.3"/>
    <row r="1316" ht="15" customHeight="1" x14ac:dyDescent="0.3"/>
    <row r="1317" ht="15" customHeight="1" x14ac:dyDescent="0.3"/>
    <row r="1318" ht="15" customHeight="1" x14ac:dyDescent="0.3"/>
    <row r="1319" ht="15" customHeight="1" x14ac:dyDescent="0.3"/>
    <row r="1320" ht="15" customHeight="1" x14ac:dyDescent="0.3"/>
    <row r="1321" ht="15" customHeight="1" x14ac:dyDescent="0.3"/>
    <row r="1322" ht="15" customHeight="1" x14ac:dyDescent="0.3"/>
    <row r="1323" ht="15" customHeight="1" x14ac:dyDescent="0.3"/>
    <row r="1324" ht="15" customHeight="1" x14ac:dyDescent="0.3"/>
    <row r="1325" ht="15" customHeight="1" x14ac:dyDescent="0.3"/>
    <row r="1326" ht="15" customHeight="1" x14ac:dyDescent="0.3"/>
    <row r="1327" ht="15" customHeight="1" x14ac:dyDescent="0.3"/>
    <row r="1328" ht="15" customHeight="1" x14ac:dyDescent="0.3"/>
    <row r="1329" ht="15" customHeight="1" x14ac:dyDescent="0.3"/>
    <row r="1330" ht="15" customHeight="1" x14ac:dyDescent="0.3"/>
    <row r="1331" ht="15" customHeight="1" x14ac:dyDescent="0.3"/>
    <row r="1332" ht="15" customHeight="1" x14ac:dyDescent="0.3"/>
    <row r="1333" ht="15" customHeight="1" x14ac:dyDescent="0.3"/>
    <row r="1334" ht="15" customHeight="1" x14ac:dyDescent="0.3"/>
    <row r="1335" ht="15" customHeight="1" x14ac:dyDescent="0.3"/>
    <row r="1336" ht="15" customHeight="1" x14ac:dyDescent="0.3"/>
    <row r="1337" ht="15" customHeight="1" x14ac:dyDescent="0.3"/>
    <row r="1338" ht="15" customHeight="1" x14ac:dyDescent="0.3"/>
    <row r="1339" ht="15" customHeight="1" x14ac:dyDescent="0.3"/>
    <row r="1340" ht="15" customHeight="1" x14ac:dyDescent="0.3"/>
    <row r="1341" ht="15" customHeight="1" x14ac:dyDescent="0.3"/>
    <row r="1342" ht="15" customHeight="1" x14ac:dyDescent="0.3"/>
    <row r="1343" ht="15" customHeight="1" x14ac:dyDescent="0.3"/>
    <row r="1344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  <row r="1492" ht="15" customHeight="1" x14ac:dyDescent="0.3"/>
    <row r="1493" ht="15" customHeight="1" x14ac:dyDescent="0.3"/>
    <row r="1494" ht="15" customHeight="1" x14ac:dyDescent="0.3"/>
    <row r="1495" ht="15" customHeight="1" x14ac:dyDescent="0.3"/>
    <row r="1496" ht="15" customHeight="1" x14ac:dyDescent="0.3"/>
    <row r="1497" ht="15" customHeight="1" x14ac:dyDescent="0.3"/>
    <row r="1498" ht="15" customHeight="1" x14ac:dyDescent="0.3"/>
    <row r="1499" ht="15" customHeight="1" x14ac:dyDescent="0.3"/>
    <row r="1500" ht="15" customHeight="1" x14ac:dyDescent="0.3"/>
    <row r="1501" ht="15" customHeight="1" x14ac:dyDescent="0.3"/>
    <row r="1502" ht="15" customHeight="1" x14ac:dyDescent="0.3"/>
    <row r="1503" ht="15" customHeight="1" x14ac:dyDescent="0.3"/>
    <row r="1504" ht="15" customHeight="1" x14ac:dyDescent="0.3"/>
    <row r="1505" ht="15" customHeight="1" x14ac:dyDescent="0.3"/>
    <row r="1506" ht="15" customHeight="1" x14ac:dyDescent="0.3"/>
    <row r="1507" ht="15" customHeight="1" x14ac:dyDescent="0.3"/>
    <row r="1508" ht="15" customHeight="1" x14ac:dyDescent="0.3"/>
    <row r="1509" ht="15" customHeight="1" x14ac:dyDescent="0.3"/>
    <row r="1510" ht="15" customHeight="1" x14ac:dyDescent="0.3"/>
    <row r="1511" ht="15" customHeight="1" x14ac:dyDescent="0.3"/>
    <row r="1512" ht="15" customHeight="1" x14ac:dyDescent="0.3"/>
    <row r="1513" ht="15" customHeight="1" x14ac:dyDescent="0.3"/>
    <row r="1514" ht="15" customHeight="1" x14ac:dyDescent="0.3"/>
    <row r="1515" ht="15" customHeight="1" x14ac:dyDescent="0.3"/>
    <row r="1516" ht="15" customHeight="1" x14ac:dyDescent="0.3"/>
    <row r="1517" ht="15" customHeight="1" x14ac:dyDescent="0.3"/>
    <row r="1518" ht="15" customHeight="1" x14ac:dyDescent="0.3"/>
    <row r="1519" ht="15" customHeight="1" x14ac:dyDescent="0.3"/>
    <row r="1520" ht="15" customHeight="1" x14ac:dyDescent="0.3"/>
    <row r="1521" ht="15" customHeight="1" x14ac:dyDescent="0.3"/>
    <row r="1522" ht="15" customHeight="1" x14ac:dyDescent="0.3"/>
    <row r="1523" ht="15" customHeight="1" x14ac:dyDescent="0.3"/>
    <row r="1524" ht="15" customHeight="1" x14ac:dyDescent="0.3"/>
    <row r="1525" ht="15" customHeight="1" x14ac:dyDescent="0.3"/>
    <row r="1526" ht="15" customHeight="1" x14ac:dyDescent="0.3"/>
    <row r="1527" ht="15" customHeight="1" x14ac:dyDescent="0.3"/>
    <row r="1528" ht="15" customHeight="1" x14ac:dyDescent="0.3"/>
    <row r="1529" ht="15" customHeight="1" x14ac:dyDescent="0.3"/>
    <row r="1530" ht="15" customHeight="1" x14ac:dyDescent="0.3"/>
    <row r="1531" ht="15" customHeight="1" x14ac:dyDescent="0.3"/>
    <row r="1532" ht="15" customHeight="1" x14ac:dyDescent="0.3"/>
    <row r="1533" ht="15" customHeight="1" x14ac:dyDescent="0.3"/>
    <row r="1534" ht="15" customHeight="1" x14ac:dyDescent="0.3"/>
    <row r="1535" ht="15" customHeight="1" x14ac:dyDescent="0.3"/>
    <row r="1536" ht="15" customHeight="1" x14ac:dyDescent="0.3"/>
    <row r="1537" ht="15" customHeight="1" x14ac:dyDescent="0.3"/>
    <row r="1538" ht="15" customHeight="1" x14ac:dyDescent="0.3"/>
    <row r="1539" ht="15" customHeight="1" x14ac:dyDescent="0.3"/>
    <row r="1540" ht="15" customHeight="1" x14ac:dyDescent="0.3"/>
    <row r="1541" ht="15" customHeight="1" x14ac:dyDescent="0.3"/>
    <row r="1542" ht="15" customHeight="1" x14ac:dyDescent="0.3"/>
    <row r="1543" ht="15" customHeight="1" x14ac:dyDescent="0.3"/>
    <row r="1544" ht="15" customHeight="1" x14ac:dyDescent="0.3"/>
    <row r="1545" ht="15" customHeight="1" x14ac:dyDescent="0.3"/>
    <row r="1546" ht="15" customHeight="1" x14ac:dyDescent="0.3"/>
    <row r="1547" ht="15" customHeight="1" x14ac:dyDescent="0.3"/>
    <row r="1548" ht="15" customHeight="1" x14ac:dyDescent="0.3"/>
    <row r="1549" ht="15" customHeight="1" x14ac:dyDescent="0.3"/>
    <row r="1550" ht="15" customHeight="1" x14ac:dyDescent="0.3"/>
    <row r="1551" ht="15" customHeight="1" x14ac:dyDescent="0.3"/>
    <row r="1552" ht="15" customHeight="1" x14ac:dyDescent="0.3"/>
    <row r="1553" ht="15" customHeight="1" x14ac:dyDescent="0.3"/>
    <row r="1554" ht="15" customHeight="1" x14ac:dyDescent="0.3"/>
    <row r="1555" ht="15" customHeight="1" x14ac:dyDescent="0.3"/>
    <row r="1556" ht="15" customHeight="1" x14ac:dyDescent="0.3"/>
    <row r="1557" ht="15" customHeight="1" x14ac:dyDescent="0.3"/>
    <row r="1558" ht="15" customHeight="1" x14ac:dyDescent="0.3"/>
    <row r="1559" ht="15" customHeight="1" x14ac:dyDescent="0.3"/>
    <row r="1560" ht="15" customHeight="1" x14ac:dyDescent="0.3"/>
    <row r="1561" ht="15" customHeight="1" x14ac:dyDescent="0.3"/>
    <row r="1562" ht="15" customHeight="1" x14ac:dyDescent="0.3"/>
    <row r="1563" ht="15" customHeight="1" x14ac:dyDescent="0.3"/>
    <row r="1564" ht="15" customHeight="1" x14ac:dyDescent="0.3"/>
    <row r="1565" ht="15" customHeight="1" x14ac:dyDescent="0.3"/>
    <row r="1566" ht="15" customHeight="1" x14ac:dyDescent="0.3"/>
    <row r="1567" ht="15" customHeight="1" x14ac:dyDescent="0.3"/>
    <row r="1568" ht="15" customHeight="1" x14ac:dyDescent="0.3"/>
    <row r="1569" ht="15" customHeight="1" x14ac:dyDescent="0.3"/>
    <row r="1570" ht="15" customHeight="1" x14ac:dyDescent="0.3"/>
    <row r="1571" ht="15" customHeight="1" x14ac:dyDescent="0.3"/>
    <row r="1572" ht="15" customHeight="1" x14ac:dyDescent="0.3"/>
    <row r="1573" ht="15" customHeight="1" x14ac:dyDescent="0.3"/>
    <row r="1574" ht="15" customHeight="1" x14ac:dyDescent="0.3"/>
    <row r="1575" ht="15" customHeight="1" x14ac:dyDescent="0.3"/>
    <row r="1576" ht="15" customHeight="1" x14ac:dyDescent="0.3"/>
    <row r="1577" ht="15" customHeight="1" x14ac:dyDescent="0.3"/>
    <row r="1578" ht="15" customHeight="1" x14ac:dyDescent="0.3"/>
    <row r="1579" ht="15" customHeight="1" x14ac:dyDescent="0.3"/>
    <row r="1580" ht="15" customHeight="1" x14ac:dyDescent="0.3"/>
    <row r="1581" ht="15" customHeight="1" x14ac:dyDescent="0.3"/>
    <row r="1582" ht="15" customHeight="1" x14ac:dyDescent="0.3"/>
    <row r="1583" ht="15" customHeight="1" x14ac:dyDescent="0.3"/>
    <row r="1584" ht="15" customHeight="1" x14ac:dyDescent="0.3"/>
    <row r="1585" ht="15" customHeight="1" x14ac:dyDescent="0.3"/>
    <row r="1586" ht="15" customHeight="1" x14ac:dyDescent="0.3"/>
    <row r="1587" ht="15" customHeight="1" x14ac:dyDescent="0.3"/>
    <row r="1588" ht="15" customHeight="1" x14ac:dyDescent="0.3"/>
    <row r="1589" ht="15" customHeight="1" x14ac:dyDescent="0.3"/>
    <row r="1590" ht="15" customHeight="1" x14ac:dyDescent="0.3"/>
    <row r="1591" ht="15" customHeight="1" x14ac:dyDescent="0.3"/>
    <row r="1592" ht="15" customHeight="1" x14ac:dyDescent="0.3"/>
    <row r="1593" ht="15" customHeight="1" x14ac:dyDescent="0.3"/>
    <row r="1594" ht="15" customHeight="1" x14ac:dyDescent="0.3"/>
    <row r="1595" ht="15" customHeight="1" x14ac:dyDescent="0.3"/>
    <row r="1596" ht="15" customHeight="1" x14ac:dyDescent="0.3"/>
    <row r="1597" ht="15" customHeight="1" x14ac:dyDescent="0.3"/>
    <row r="1598" ht="15" customHeight="1" x14ac:dyDescent="0.3"/>
    <row r="1599" ht="15" customHeight="1" x14ac:dyDescent="0.3"/>
    <row r="1600" ht="15" customHeight="1" x14ac:dyDescent="0.3"/>
    <row r="1601" ht="15" customHeight="1" x14ac:dyDescent="0.3"/>
    <row r="1602" ht="15" customHeight="1" x14ac:dyDescent="0.3"/>
    <row r="1603" ht="15" customHeight="1" x14ac:dyDescent="0.3"/>
    <row r="1604" ht="15" customHeight="1" x14ac:dyDescent="0.3"/>
    <row r="1605" ht="15" customHeight="1" x14ac:dyDescent="0.3"/>
    <row r="1606" ht="15" customHeight="1" x14ac:dyDescent="0.3"/>
    <row r="1607" ht="15" customHeight="1" x14ac:dyDescent="0.3"/>
    <row r="1608" ht="15" customHeight="1" x14ac:dyDescent="0.3"/>
    <row r="1609" ht="15" customHeight="1" x14ac:dyDescent="0.3"/>
    <row r="1610" ht="15" customHeight="1" x14ac:dyDescent="0.3"/>
    <row r="1611" ht="15" customHeight="1" x14ac:dyDescent="0.3"/>
    <row r="1612" ht="15" customHeight="1" x14ac:dyDescent="0.3"/>
    <row r="1613" ht="15" customHeight="1" x14ac:dyDescent="0.3"/>
    <row r="1614" ht="15" customHeight="1" x14ac:dyDescent="0.3"/>
    <row r="1615" ht="15" customHeight="1" x14ac:dyDescent="0.3"/>
    <row r="1616" ht="15" customHeight="1" x14ac:dyDescent="0.3"/>
    <row r="1617" ht="15" customHeight="1" x14ac:dyDescent="0.3"/>
    <row r="1618" ht="15" customHeight="1" x14ac:dyDescent="0.3"/>
    <row r="1619" ht="15" customHeight="1" x14ac:dyDescent="0.3"/>
    <row r="1620" ht="15" customHeight="1" x14ac:dyDescent="0.3"/>
    <row r="1621" ht="15" customHeight="1" x14ac:dyDescent="0.3"/>
    <row r="1622" ht="15" customHeight="1" x14ac:dyDescent="0.3"/>
    <row r="1623" ht="15" customHeight="1" x14ac:dyDescent="0.3"/>
    <row r="1624" ht="15" customHeight="1" x14ac:dyDescent="0.3"/>
    <row r="1625" ht="15" customHeight="1" x14ac:dyDescent="0.3"/>
    <row r="1626" ht="15" customHeight="1" x14ac:dyDescent="0.3"/>
    <row r="1627" ht="15" customHeight="1" x14ac:dyDescent="0.3"/>
    <row r="1628" ht="15" customHeight="1" x14ac:dyDescent="0.3"/>
    <row r="1629" ht="15" customHeight="1" x14ac:dyDescent="0.3"/>
    <row r="1630" ht="15" customHeight="1" x14ac:dyDescent="0.3"/>
    <row r="1631" ht="15" customHeight="1" x14ac:dyDescent="0.3"/>
    <row r="1632" ht="15" customHeight="1" x14ac:dyDescent="0.3"/>
    <row r="1633" ht="15" customHeight="1" x14ac:dyDescent="0.3"/>
    <row r="1634" ht="15" customHeight="1" x14ac:dyDescent="0.3"/>
    <row r="1635" ht="15" customHeight="1" x14ac:dyDescent="0.3"/>
    <row r="1636" ht="15" customHeight="1" x14ac:dyDescent="0.3"/>
    <row r="1637" ht="15" customHeight="1" x14ac:dyDescent="0.3"/>
    <row r="1638" ht="15" customHeight="1" x14ac:dyDescent="0.3"/>
    <row r="1639" ht="15" customHeight="1" x14ac:dyDescent="0.3"/>
    <row r="1640" ht="15" customHeight="1" x14ac:dyDescent="0.3"/>
    <row r="1641" ht="15" customHeight="1" x14ac:dyDescent="0.3"/>
    <row r="1642" ht="15" customHeight="1" x14ac:dyDescent="0.3"/>
    <row r="1643" ht="15" customHeight="1" x14ac:dyDescent="0.3"/>
    <row r="1644" ht="15" customHeight="1" x14ac:dyDescent="0.3"/>
    <row r="1645" ht="15" customHeight="1" x14ac:dyDescent="0.3"/>
    <row r="1646" ht="15" customHeight="1" x14ac:dyDescent="0.3"/>
    <row r="1647" ht="15" customHeight="1" x14ac:dyDescent="0.3"/>
    <row r="1648" ht="15" customHeight="1" x14ac:dyDescent="0.3"/>
    <row r="1649" ht="15" customHeight="1" x14ac:dyDescent="0.3"/>
    <row r="1650" ht="15" customHeight="1" x14ac:dyDescent="0.3"/>
    <row r="1651" ht="15" customHeight="1" x14ac:dyDescent="0.3"/>
    <row r="1652" ht="15" customHeight="1" x14ac:dyDescent="0.3"/>
    <row r="1653" ht="15" customHeight="1" x14ac:dyDescent="0.3"/>
    <row r="1654" ht="15" customHeight="1" x14ac:dyDescent="0.3"/>
    <row r="1655" ht="15" customHeight="1" x14ac:dyDescent="0.3"/>
    <row r="1656" ht="15" customHeight="1" x14ac:dyDescent="0.3"/>
    <row r="1657" ht="15" customHeight="1" x14ac:dyDescent="0.3"/>
    <row r="1658" ht="15" customHeight="1" x14ac:dyDescent="0.3"/>
    <row r="1659" ht="15" customHeight="1" x14ac:dyDescent="0.3"/>
    <row r="1660" ht="15" customHeight="1" x14ac:dyDescent="0.3"/>
    <row r="1661" ht="15" customHeight="1" x14ac:dyDescent="0.3"/>
    <row r="1662" ht="15" customHeight="1" x14ac:dyDescent="0.3"/>
    <row r="1663" ht="15" customHeight="1" x14ac:dyDescent="0.3"/>
    <row r="1664" ht="15" customHeight="1" x14ac:dyDescent="0.3"/>
    <row r="1665" ht="15" customHeight="1" x14ac:dyDescent="0.3"/>
    <row r="1666" ht="15" customHeight="1" x14ac:dyDescent="0.3"/>
    <row r="1667" ht="15" customHeight="1" x14ac:dyDescent="0.3"/>
    <row r="1668" ht="15" customHeight="1" x14ac:dyDescent="0.3"/>
    <row r="1669" ht="15" customHeight="1" x14ac:dyDescent="0.3"/>
    <row r="1670" ht="15" customHeight="1" x14ac:dyDescent="0.3"/>
    <row r="1671" ht="15" customHeight="1" x14ac:dyDescent="0.3"/>
    <row r="1672" ht="15" customHeight="1" x14ac:dyDescent="0.3"/>
    <row r="1673" ht="15" customHeight="1" x14ac:dyDescent="0.3"/>
    <row r="1674" ht="15" customHeight="1" x14ac:dyDescent="0.3"/>
    <row r="1675" ht="15" customHeight="1" x14ac:dyDescent="0.3"/>
    <row r="1676" ht="15" customHeight="1" x14ac:dyDescent="0.3"/>
    <row r="1677" ht="15" customHeight="1" x14ac:dyDescent="0.3"/>
    <row r="1678" ht="15" customHeight="1" x14ac:dyDescent="0.3"/>
    <row r="1679" ht="15" customHeight="1" x14ac:dyDescent="0.3"/>
    <row r="1680" ht="15" customHeight="1" x14ac:dyDescent="0.3"/>
    <row r="1681" ht="15" customHeight="1" x14ac:dyDescent="0.3"/>
    <row r="1682" ht="15" customHeight="1" x14ac:dyDescent="0.3"/>
    <row r="1683" ht="15" customHeight="1" x14ac:dyDescent="0.3"/>
    <row r="1684" ht="15" customHeight="1" x14ac:dyDescent="0.3"/>
    <row r="1685" ht="15" customHeight="1" x14ac:dyDescent="0.3"/>
    <row r="1686" ht="15" customHeight="1" x14ac:dyDescent="0.3"/>
    <row r="1687" ht="15" customHeight="1" x14ac:dyDescent="0.3"/>
    <row r="1688" ht="15" customHeight="1" x14ac:dyDescent="0.3"/>
    <row r="1689" ht="15" customHeight="1" x14ac:dyDescent="0.3"/>
    <row r="1690" ht="15" customHeight="1" x14ac:dyDescent="0.3"/>
    <row r="1691" ht="15" customHeight="1" x14ac:dyDescent="0.3"/>
    <row r="1692" ht="15" customHeight="1" x14ac:dyDescent="0.3"/>
    <row r="1693" ht="15" customHeight="1" x14ac:dyDescent="0.3"/>
    <row r="1694" ht="15" customHeight="1" x14ac:dyDescent="0.3"/>
    <row r="1695" ht="15" customHeight="1" x14ac:dyDescent="0.3"/>
    <row r="1696" ht="15" customHeight="1" x14ac:dyDescent="0.3"/>
    <row r="1697" ht="15" customHeight="1" x14ac:dyDescent="0.3"/>
    <row r="1698" ht="15" customHeight="1" x14ac:dyDescent="0.3"/>
    <row r="1699" ht="15" customHeight="1" x14ac:dyDescent="0.3"/>
    <row r="1700" ht="15" customHeight="1" x14ac:dyDescent="0.3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36D26B-3D7B-4275-9D4A-D41F858BA3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 Search</vt:lpstr>
    </vt:vector>
  </TitlesOfParts>
  <Company>CSC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OPS COMP</dc:creator>
  <cp:lastModifiedBy>Abhishek Kumar Singh</cp:lastModifiedBy>
  <dcterms:created xsi:type="dcterms:W3CDTF">2013-09-02T12:55:54Z</dcterms:created>
  <dcterms:modified xsi:type="dcterms:W3CDTF">2023-04-29T22:32:57Z</dcterms:modified>
</cp:coreProperties>
</file>